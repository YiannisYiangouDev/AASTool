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yiannis\Desktop\Serg\xlsx\"/>
    </mc:Choice>
  </mc:AlternateContent>
  <xr:revisionPtr revIDLastSave="0" documentId="13_ncr:1_{310457F8-B45B-4496-9CE1-C1E13B5959F1}" xr6:coauthVersionLast="47" xr6:coauthVersionMax="47" xr10:uidLastSave="{00000000-0000-0000-0000-000000000000}"/>
  <bookViews>
    <workbookView xWindow="-108" yWindow="-108" windowWidth="23256" windowHeight="13896" tabRatio="500" xr2:uid="{00000000-000D-0000-FFFF-FFFF00000000}"/>
  </bookViews>
  <sheets>
    <sheet name="Accessibility Assessment Scheme" sheetId="1" r:id="rId1"/>
  </sheets>
  <definedNames>
    <definedName name="_Hlk227742907" localSheetId="0">'Accessibility Assessment Scheme'!$AU$17</definedName>
    <definedName name="_Hlk227743783" localSheetId="0">'Accessibility Assessment Scheme'!$AV$17</definedName>
    <definedName name="_Hlk227746072" localSheetId="0">'Accessibility Assessment Scheme'!$AW$17</definedName>
    <definedName name="_Hlk227747414" localSheetId="0">'Accessibility Assessment Scheme'!$AX$17</definedName>
    <definedName name="_Hlk227748909" localSheetId="0">'Accessibility Assessment Scheme'!$BI$15</definedName>
    <definedName name="_Hlk227750548" localSheetId="0">'Accessibility Assessment Scheme'!$BJ$15</definedName>
    <definedName name="_Hlk227751747" localSheetId="0">'Accessibility Assessment Scheme'!$BK$15</definedName>
    <definedName name="_Hlk227752688" localSheetId="0">'Accessibility Assessment Scheme'!$BL$15</definedName>
    <definedName name="_Hlk227758683" localSheetId="0">'Accessibility Assessment Scheme'!$BM$15</definedName>
    <definedName name="_Hlk227762232" localSheetId="0">'Accessibility Assessment Scheme'!$BI$16</definedName>
    <definedName name="_Hlk227932432" localSheetId="0">'Accessibility Assessment Scheme'!$BX$15</definedName>
    <definedName name="_Hlk227934257" localSheetId="0">'Accessibility Assessment Scheme'!$BZ$15</definedName>
    <definedName name="_Hlk227935132" localSheetId="0">'Accessibility Assessment Scheme'!$CA$15</definedName>
    <definedName name="_Hlk228192117" localSheetId="0">'Accessibility Assessment Scheme'!$CB$17</definedName>
    <definedName name="_Hlk228193883" localSheetId="0">'Accessibility Assessment Scheme'!$CM$15</definedName>
    <definedName name="_Hlk228272907" localSheetId="0">'Accessibility Assessment Scheme'!$CM$16</definedName>
    <definedName name="_Hlk228275355" localSheetId="0">'Accessibility Assessment Scheme'!$CO$16</definedName>
    <definedName name="_Hlk228276710" localSheetId="0">'Accessibility Assessment Scheme'!$CP$16</definedName>
    <definedName name="_Hlk228354591" localSheetId="0">'Accessibility Assessment Scheme'!$AT$20</definedName>
    <definedName name="_Hlk228356948" localSheetId="0">'Accessibility Assessment Scheme'!$AV$20</definedName>
    <definedName name="_Hlk228359635" localSheetId="0">'Accessibility Assessment Scheme'!$AX$20</definedName>
    <definedName name="_Hlk228362756" localSheetId="0">'Accessibility Assessment Scheme'!$AT$21</definedName>
    <definedName name="_Hlk228363903" localSheetId="0">'Accessibility Assessment Scheme'!$AU$21</definedName>
    <definedName name="_Hlk228367009" localSheetId="0">'Accessibility Assessment Scheme'!$AX$21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Z34" i="1" l="1"/>
  <c r="Y34" i="1"/>
  <c r="CD32" i="1"/>
  <c r="BO32" i="1"/>
  <c r="AK32" i="1"/>
  <c r="CS31" i="1"/>
  <c r="CD31" i="1"/>
  <c r="BO31" i="1"/>
  <c r="AZ31" i="1"/>
  <c r="AK31" i="1"/>
  <c r="CS30" i="1"/>
  <c r="CT30" i="1" s="1"/>
  <c r="CU30" i="1" s="1"/>
  <c r="CV30" i="1" s="1"/>
  <c r="CL30" i="1"/>
  <c r="CD30" i="1"/>
  <c r="CE30" i="1" s="1"/>
  <c r="CF30" i="1" s="1"/>
  <c r="CG30" i="1" s="1"/>
  <c r="BW30" i="1"/>
  <c r="BO30" i="1"/>
  <c r="BP30" i="1" s="1"/>
  <c r="BQ30" i="1" s="1"/>
  <c r="BR30" i="1" s="1"/>
  <c r="BH30" i="1"/>
  <c r="AZ30" i="1"/>
  <c r="BA30" i="1" s="1"/>
  <c r="BB30" i="1" s="1"/>
  <c r="BC30" i="1" s="1"/>
  <c r="AS30" i="1"/>
  <c r="AK30" i="1"/>
  <c r="AL30" i="1" s="1"/>
  <c r="AM30" i="1" s="1"/>
  <c r="AD30" i="1"/>
  <c r="CS26" i="1"/>
  <c r="CD26" i="1"/>
  <c r="BO26" i="1"/>
  <c r="AZ26" i="1"/>
  <c r="AK26" i="1"/>
  <c r="CS25" i="1"/>
  <c r="CT25" i="1" s="1"/>
  <c r="CU25" i="1" s="1"/>
  <c r="CV25" i="1" s="1"/>
  <c r="CL25" i="1"/>
  <c r="CD25" i="1"/>
  <c r="CE25" i="1" s="1"/>
  <c r="CF25" i="1" s="1"/>
  <c r="CG25" i="1" s="1"/>
  <c r="BW25" i="1"/>
  <c r="BP25" i="1"/>
  <c r="BQ25" i="1" s="1"/>
  <c r="BR25" i="1" s="1"/>
  <c r="BO25" i="1"/>
  <c r="BH25" i="1"/>
  <c r="AZ25" i="1"/>
  <c r="BA25" i="1" s="1"/>
  <c r="BB25" i="1" s="1"/>
  <c r="BC25" i="1" s="1"/>
  <c r="AS25" i="1"/>
  <c r="AK25" i="1"/>
  <c r="AL25" i="1" s="1"/>
  <c r="AM25" i="1" s="1"/>
  <c r="AD25" i="1"/>
  <c r="AZ22" i="1"/>
  <c r="CS21" i="1"/>
  <c r="CD21" i="1"/>
  <c r="BO21" i="1"/>
  <c r="AZ21" i="1"/>
  <c r="AK21" i="1"/>
  <c r="CS20" i="1"/>
  <c r="CT20" i="1" s="1"/>
  <c r="CU20" i="1" s="1"/>
  <c r="CV20" i="1" s="1"/>
  <c r="CL20" i="1"/>
  <c r="CD20" i="1"/>
  <c r="CE20" i="1" s="1"/>
  <c r="CF20" i="1" s="1"/>
  <c r="CG20" i="1" s="1"/>
  <c r="BW20" i="1"/>
  <c r="BO20" i="1"/>
  <c r="BP20" i="1" s="1"/>
  <c r="BQ20" i="1" s="1"/>
  <c r="BR20" i="1" s="1"/>
  <c r="BH20" i="1"/>
  <c r="AZ20" i="1"/>
  <c r="BA20" i="1" s="1"/>
  <c r="BB20" i="1" s="1"/>
  <c r="BC20" i="1" s="1"/>
  <c r="AS20" i="1"/>
  <c r="AK20" i="1"/>
  <c r="AL20" i="1" s="1"/>
  <c r="AM20" i="1" s="1"/>
  <c r="AD20" i="1"/>
  <c r="K18" i="1"/>
  <c r="J18" i="1"/>
  <c r="I18" i="1"/>
  <c r="H18" i="1"/>
  <c r="G18" i="1"/>
  <c r="F18" i="1"/>
  <c r="E18" i="1"/>
  <c r="CS17" i="1"/>
  <c r="CD17" i="1"/>
  <c r="AZ17" i="1"/>
  <c r="AK17" i="1"/>
  <c r="CS16" i="1"/>
  <c r="CD16" i="1"/>
  <c r="BO16" i="1"/>
  <c r="AZ16" i="1"/>
  <c r="AK16" i="1"/>
  <c r="CS15" i="1"/>
  <c r="CT15" i="1" s="1"/>
  <c r="CU15" i="1" s="1"/>
  <c r="CV15" i="1" s="1"/>
  <c r="CL15" i="1"/>
  <c r="CD15" i="1"/>
  <c r="CE15" i="1" s="1"/>
  <c r="CF15" i="1" s="1"/>
  <c r="CG15" i="1" s="1"/>
  <c r="BW15" i="1"/>
  <c r="BO15" i="1"/>
  <c r="BP15" i="1" s="1"/>
  <c r="BQ15" i="1" s="1"/>
  <c r="BR15" i="1" s="1"/>
  <c r="BH15" i="1"/>
  <c r="AZ15" i="1"/>
  <c r="BA15" i="1" s="1"/>
  <c r="BB15" i="1" s="1"/>
  <c r="BC15" i="1" s="1"/>
  <c r="AS15" i="1"/>
  <c r="AK15" i="1"/>
  <c r="AL15" i="1" s="1"/>
  <c r="AM15" i="1" s="1"/>
  <c r="AD15" i="1"/>
  <c r="AZ13" i="1"/>
  <c r="CS12" i="1"/>
  <c r="CD12" i="1"/>
  <c r="BO12" i="1"/>
  <c r="AZ12" i="1"/>
  <c r="K12" i="1"/>
  <c r="J12" i="1"/>
  <c r="I12" i="1"/>
  <c r="H12" i="1"/>
  <c r="G12" i="1"/>
  <c r="F12" i="1"/>
  <c r="E12" i="1"/>
  <c r="CS11" i="1"/>
  <c r="CD11" i="1"/>
  <c r="BO11" i="1"/>
  <c r="AZ11" i="1"/>
  <c r="AK11" i="1"/>
  <c r="CT10" i="1"/>
  <c r="CU10" i="1" s="1"/>
  <c r="CV10" i="1" s="1"/>
  <c r="CV34" i="1" s="1"/>
  <c r="CX30" i="1" s="1"/>
  <c r="DE15" i="1" s="1"/>
  <c r="CS10" i="1"/>
  <c r="CL10" i="1"/>
  <c r="CD10" i="1"/>
  <c r="CE10" i="1" s="1"/>
  <c r="CF10" i="1" s="1"/>
  <c r="CG10" i="1" s="1"/>
  <c r="BW10" i="1"/>
  <c r="BO10" i="1"/>
  <c r="BP10" i="1" s="1"/>
  <c r="BQ10" i="1" s="1"/>
  <c r="BR10" i="1" s="1"/>
  <c r="BH10" i="1"/>
  <c r="AZ10" i="1"/>
  <c r="BA10" i="1" s="1"/>
  <c r="BB10" i="1" s="1"/>
  <c r="BC10" i="1" s="1"/>
  <c r="AS10" i="1"/>
  <c r="AK10" i="1"/>
  <c r="AL10" i="1" s="1"/>
  <c r="AM10" i="1" s="1"/>
  <c r="AD10" i="1"/>
  <c r="CZ7" i="1"/>
  <c r="AN15" i="1" l="1"/>
  <c r="CW15" i="1"/>
  <c r="BC34" i="1"/>
  <c r="CX15" i="1" s="1"/>
  <c r="DE12" i="1" s="1"/>
  <c r="AN10" i="1"/>
  <c r="CW10" i="1"/>
  <c r="BR34" i="1"/>
  <c r="CX20" i="1" s="1"/>
  <c r="DE13" i="1" s="1"/>
  <c r="CW25" i="1"/>
  <c r="AN25" i="1"/>
  <c r="CG34" i="1"/>
  <c r="CX25" i="1" s="1"/>
  <c r="DE14" i="1" s="1"/>
  <c r="CW20" i="1"/>
  <c r="AN20" i="1"/>
  <c r="CW30" i="1"/>
  <c r="AN30" i="1"/>
  <c r="CY25" i="1" l="1"/>
  <c r="DC14" i="1" s="1"/>
  <c r="DB14" i="1"/>
  <c r="AN34" i="1"/>
  <c r="CX10" i="1" s="1"/>
  <c r="DB15" i="1"/>
  <c r="CY30" i="1"/>
  <c r="DC15" i="1" s="1"/>
  <c r="CW34" i="1"/>
  <c r="DB11" i="1"/>
  <c r="CY10" i="1"/>
  <c r="DB12" i="1"/>
  <c r="CY15" i="1"/>
  <c r="DC12" i="1" s="1"/>
  <c r="CY20" i="1"/>
  <c r="DC13" i="1" s="1"/>
  <c r="DB13" i="1"/>
  <c r="DC11" i="1" l="1"/>
  <c r="CY34" i="1"/>
  <c r="DB16" i="1"/>
  <c r="CX34" i="1"/>
  <c r="DE11" i="1"/>
  <c r="DE16" i="1" l="1"/>
  <c r="DC16" i="1"/>
  <c r="DD21" i="1" l="1"/>
  <c r="DD13" i="1"/>
  <c r="DD12" i="1"/>
  <c r="DD14" i="1"/>
  <c r="DD15" i="1"/>
  <c r="DD11" i="1"/>
  <c r="DD16" i="1" s="1"/>
  <c r="DF15" i="1"/>
  <c r="DF13" i="1"/>
  <c r="DF14" i="1"/>
  <c r="DF12" i="1"/>
  <c r="DF11" i="1"/>
  <c r="DF16" i="1" s="1"/>
</calcChain>
</file>

<file path=xl/sharedStrings.xml><?xml version="1.0" encoding="utf-8"?>
<sst xmlns="http://schemas.openxmlformats.org/spreadsheetml/2006/main" count="1066" uniqueCount="752">
  <si>
    <t xml:space="preserve">Accessibility Assessment Scheme Model </t>
  </si>
  <si>
    <r>
      <rPr>
        <b/>
        <sz val="26"/>
        <color rgb="FFFF0000"/>
        <rFont val="Calibri"/>
        <family val="2"/>
        <charset val="1"/>
      </rPr>
      <t>Step 1</t>
    </r>
    <r>
      <rPr>
        <b/>
        <sz val="24"/>
        <color rgb="FF00B0F0"/>
        <rFont val="Calibri"/>
        <family val="2"/>
        <charset val="1"/>
      </rPr>
      <t xml:space="preserve"> - Select the Building Type </t>
    </r>
    <r>
      <rPr>
        <b/>
        <sz val="20"/>
        <color rgb="FF00B0F0"/>
        <rFont val="Calibri"/>
        <family val="2"/>
        <charset val="1"/>
      </rPr>
      <t>( get the weight values for Disability Type and Assessment Diamension)</t>
    </r>
  </si>
  <si>
    <r>
      <rPr>
        <b/>
        <sz val="26"/>
        <color rgb="FFFF0000"/>
        <rFont val="Calibri"/>
        <family val="2"/>
        <charset val="1"/>
      </rPr>
      <t>Step 2</t>
    </r>
    <r>
      <rPr>
        <b/>
        <sz val="26"/>
        <color rgb="FF00B0F0"/>
        <rFont val="Calibri"/>
        <family val="2"/>
        <charset val="1"/>
      </rPr>
      <t xml:space="preserve"> - </t>
    </r>
    <r>
      <rPr>
        <b/>
        <sz val="24"/>
        <color rgb="FF00B0F0"/>
        <rFont val="Calibri"/>
        <family val="2"/>
        <charset val="1"/>
      </rPr>
      <t>Select the weight values for Evaluation Criteria</t>
    </r>
  </si>
  <si>
    <r>
      <rPr>
        <sz val="26"/>
        <color rgb="FFFF0000"/>
        <rFont val="Calibri"/>
        <family val="2"/>
        <charset val="1"/>
      </rPr>
      <t>Step 3</t>
    </r>
    <r>
      <rPr>
        <sz val="11"/>
        <color theme="1"/>
        <rFont val="Calibri"/>
        <family val="2"/>
        <charset val="1"/>
      </rPr>
      <t xml:space="preserve"> - </t>
    </r>
    <r>
      <rPr>
        <b/>
        <sz val="24"/>
        <color rgb="FF00B0F0"/>
        <rFont val="Calibri"/>
        <family val="2"/>
        <charset val="1"/>
      </rPr>
      <t>Comprehensive Accessibility Assessment Scheme Model</t>
    </r>
  </si>
  <si>
    <r>
      <rPr>
        <b/>
        <sz val="26"/>
        <color rgb="FFFF0000"/>
        <rFont val="Calibri"/>
        <family val="2"/>
        <charset val="1"/>
      </rPr>
      <t>Step 5</t>
    </r>
    <r>
      <rPr>
        <b/>
        <sz val="24"/>
        <color rgb="FF00B0F0"/>
        <rFont val="Calibri"/>
        <family val="2"/>
        <charset val="1"/>
      </rPr>
      <t xml:space="preserve"> - Building Certification</t>
    </r>
  </si>
  <si>
    <r>
      <rPr>
        <sz val="20"/>
        <color theme="1"/>
        <rFont val="Calibri"/>
        <family val="2"/>
        <charset val="1"/>
      </rPr>
      <t xml:space="preserve">Types of Buildings and variable values - </t>
    </r>
    <r>
      <rPr>
        <sz val="14"/>
        <color rgb="FFFF0000"/>
        <rFont val="Calibri"/>
        <family val="2"/>
        <charset val="1"/>
      </rPr>
      <t>Case Study: Commercial Buildings (Office buildings - Workplaces for companies etc)</t>
    </r>
  </si>
  <si>
    <t>Evaluation Criteria - variable values (percentages)</t>
  </si>
  <si>
    <t>*To proceed with the building certification, the building must meet the requirements of standard EN 17210</t>
  </si>
  <si>
    <r>
      <rPr>
        <b/>
        <sz val="20"/>
        <color rgb="FFFF0000"/>
        <rFont val="Calibri"/>
        <family val="2"/>
        <charset val="1"/>
      </rPr>
      <t>Step 4 (I)</t>
    </r>
    <r>
      <rPr>
        <b/>
        <sz val="20"/>
        <color rgb="FF00B0F0"/>
        <rFont val="Calibri"/>
        <family val="2"/>
        <charset val="1"/>
      </rPr>
      <t xml:space="preserve"> - Evaluation Criteria Scooring</t>
    </r>
  </si>
  <si>
    <r>
      <rPr>
        <b/>
        <sz val="20"/>
        <color rgb="FFFF0000"/>
        <rFont val="Calibri"/>
        <family val="2"/>
        <charset val="1"/>
      </rPr>
      <t>Step 4 (II)</t>
    </r>
    <r>
      <rPr>
        <b/>
        <sz val="20"/>
        <color rgb="FF00B0F0"/>
        <rFont val="Calibri"/>
        <family val="2"/>
        <charset val="1"/>
      </rPr>
      <t xml:space="preserve"> - Evaluation Criteria Scooring</t>
    </r>
  </si>
  <si>
    <r>
      <rPr>
        <b/>
        <sz val="20"/>
        <color rgb="FFFF0000"/>
        <rFont val="Calibri"/>
        <family val="2"/>
        <charset val="1"/>
      </rPr>
      <t>Step 4 (III)</t>
    </r>
    <r>
      <rPr>
        <b/>
        <sz val="20"/>
        <color rgb="FF00B0F0"/>
        <rFont val="Calibri"/>
        <family val="2"/>
        <charset val="1"/>
      </rPr>
      <t xml:space="preserve"> - Evaluation Criteria Scooring</t>
    </r>
  </si>
  <si>
    <r>
      <rPr>
        <b/>
        <sz val="20"/>
        <color rgb="FFFF0000"/>
        <rFont val="Calibri"/>
        <family val="2"/>
        <charset val="1"/>
      </rPr>
      <t>Step 4 (IV)</t>
    </r>
    <r>
      <rPr>
        <b/>
        <sz val="20"/>
        <color rgb="FF00B0F0"/>
        <rFont val="Calibri"/>
        <family val="2"/>
        <charset val="1"/>
      </rPr>
      <t xml:space="preserve"> - Evaluation Criteria Scooring</t>
    </r>
  </si>
  <si>
    <r>
      <rPr>
        <b/>
        <sz val="20"/>
        <color rgb="FFFF0000"/>
        <rFont val="Calibri"/>
        <family val="2"/>
        <charset val="1"/>
      </rPr>
      <t>Step 4 (VI)</t>
    </r>
    <r>
      <rPr>
        <b/>
        <sz val="20"/>
        <color rgb="FF00B0F0"/>
        <rFont val="Calibri"/>
        <family val="2"/>
        <charset val="1"/>
      </rPr>
      <t xml:space="preserve"> - Evaluation Criteria Scooring</t>
    </r>
  </si>
  <si>
    <t>e</t>
  </si>
  <si>
    <t>Residential Buildings</t>
  </si>
  <si>
    <t>Commercial Buildings</t>
  </si>
  <si>
    <t>Industrial Buildings</t>
  </si>
  <si>
    <t>Institutional Buildings</t>
  </si>
  <si>
    <t>Religious Buildings</t>
  </si>
  <si>
    <t>Recreational Buildings</t>
  </si>
  <si>
    <t>Special - Purpose Buildings</t>
  </si>
  <si>
    <t>Disability Type</t>
  </si>
  <si>
    <t>Assessment Dimension</t>
  </si>
  <si>
    <t>a/a</t>
  </si>
  <si>
    <t>Ev.Cr.</t>
  </si>
  <si>
    <t>Criterion</t>
  </si>
  <si>
    <t>Criteria Definition</t>
  </si>
  <si>
    <t>Assigned value       (%)</t>
  </si>
  <si>
    <t>Justification</t>
  </si>
  <si>
    <t>ASSESSMENT DIMENSION  - Σ Ad(j)= 5</t>
  </si>
  <si>
    <r>
      <rPr>
        <b/>
        <sz val="12"/>
        <color theme="1"/>
        <rFont val="Calibri"/>
        <family val="2"/>
        <charset val="1"/>
      </rPr>
      <t>TIS (i)</t>
    </r>
    <r>
      <rPr>
        <b/>
        <sz val="10"/>
        <color theme="1"/>
        <rFont val="Calibri"/>
        <family val="2"/>
        <charset val="1"/>
      </rPr>
      <t xml:space="preserve"> =              </t>
    </r>
    <r>
      <rPr>
        <sz val="10"/>
        <color theme="1"/>
        <rFont val="Calibri"/>
        <family val="2"/>
        <charset val="1"/>
      </rPr>
      <t xml:space="preserve">    </t>
    </r>
    <r>
      <rPr>
        <sz val="16"/>
        <color theme="1"/>
        <rFont val="Calibri"/>
        <family val="2"/>
        <charset val="1"/>
      </rPr>
      <t>Σ</t>
    </r>
    <r>
      <rPr>
        <sz val="14"/>
        <color theme="1"/>
        <rFont val="Calibri"/>
        <family val="2"/>
        <charset val="1"/>
      </rPr>
      <t xml:space="preserve"> </t>
    </r>
    <r>
      <rPr>
        <sz val="10"/>
        <color theme="1"/>
        <rFont val="Calibri"/>
        <family val="2"/>
        <charset val="1"/>
      </rPr>
      <t xml:space="preserve">IS(ij)       </t>
    </r>
  </si>
  <si>
    <r>
      <rPr>
        <b/>
        <sz val="12"/>
        <color theme="1"/>
        <rFont val="Calibri"/>
        <family val="2"/>
        <charset val="1"/>
      </rPr>
      <t>CIS (ij)</t>
    </r>
    <r>
      <rPr>
        <b/>
        <sz val="10"/>
        <color theme="1"/>
        <rFont val="Calibri"/>
        <family val="2"/>
        <charset val="1"/>
      </rPr>
      <t xml:space="preserve"> =          </t>
    </r>
    <r>
      <rPr>
        <sz val="10"/>
        <color theme="1"/>
        <rFont val="Calibri"/>
        <family val="2"/>
        <charset val="1"/>
      </rPr>
      <t xml:space="preserve">  </t>
    </r>
    <r>
      <rPr>
        <sz val="16"/>
        <color theme="1"/>
        <rFont val="Calibri"/>
        <family val="2"/>
        <charset val="1"/>
      </rPr>
      <t xml:space="preserve">Σ </t>
    </r>
    <r>
      <rPr>
        <sz val="10"/>
        <color theme="1"/>
        <rFont val="Calibri"/>
        <family val="2"/>
        <charset val="1"/>
      </rPr>
      <t xml:space="preserve">(W(i)*IS(ij)  </t>
    </r>
  </si>
  <si>
    <r>
      <rPr>
        <b/>
        <sz val="11"/>
        <color theme="1"/>
        <rFont val="Calibri"/>
        <family val="2"/>
        <charset val="1"/>
      </rPr>
      <t>Overal Building Score  (</t>
    </r>
    <r>
      <rPr>
        <b/>
        <sz val="14"/>
        <color theme="1"/>
        <rFont val="Calibri"/>
        <family val="2"/>
        <charset val="1"/>
      </rPr>
      <t>OBS</t>
    </r>
    <r>
      <rPr>
        <b/>
        <sz val="11"/>
        <color theme="1"/>
        <rFont val="Calibri"/>
        <family val="2"/>
        <charset val="1"/>
      </rPr>
      <t>)</t>
    </r>
    <r>
      <rPr>
        <sz val="11"/>
        <color theme="1"/>
        <rFont val="Calibri"/>
        <family val="2"/>
        <charset val="1"/>
      </rPr>
      <t xml:space="preserve"> </t>
    </r>
  </si>
  <si>
    <r>
      <rPr>
        <b/>
        <sz val="14"/>
        <color theme="1"/>
        <rFont val="Calibri"/>
        <family val="2"/>
        <charset val="1"/>
      </rPr>
      <t>Σ</t>
    </r>
    <r>
      <rPr>
        <b/>
        <sz val="11"/>
        <color theme="1"/>
        <rFont val="Calibri"/>
        <family val="2"/>
        <charset val="1"/>
      </rPr>
      <t xml:space="preserve"> w(ij)</t>
    </r>
  </si>
  <si>
    <t>Certification Framework Principles</t>
  </si>
  <si>
    <t>DT 1</t>
  </si>
  <si>
    <t>Physical Disability</t>
  </si>
  <si>
    <t>A.D. 1 - Spatial &amp; Physical Accessibility</t>
  </si>
  <si>
    <t>W(ij) =</t>
  </si>
  <si>
    <t>A.D. 2 - Safety &amp; Enviromental Comfort</t>
  </si>
  <si>
    <t>A.D. 3 - Cognitive &amp; Navigational Accessibility</t>
  </si>
  <si>
    <t>A.D. 4 - Digital Interacion &amp; Smart Usability</t>
  </si>
  <si>
    <t>A.D. 5 - Social induction &amp; Human Experience</t>
  </si>
  <si>
    <t>[across all A.D.(j) for a D.T. (i)]</t>
  </si>
  <si>
    <t>[across all D.T.(i) for an A.D. (j)]</t>
  </si>
  <si>
    <t>[The weighted average Sum of the total Impact Scores TIS(i)]</t>
  </si>
  <si>
    <r>
      <rPr>
        <b/>
        <sz val="11"/>
        <color theme="1"/>
        <rFont val="Calibri"/>
        <family val="2"/>
        <charset val="1"/>
      </rPr>
      <t>Total Impact Score</t>
    </r>
    <r>
      <rPr>
        <b/>
        <sz val="14"/>
        <color theme="1"/>
        <rFont val="Calibri"/>
        <family val="2"/>
        <charset val="1"/>
      </rPr>
      <t xml:space="preserve">    TIS(i)</t>
    </r>
    <r>
      <rPr>
        <b/>
        <sz val="11"/>
        <color theme="1"/>
        <rFont val="Calibri"/>
        <family val="2"/>
        <charset val="1"/>
      </rPr>
      <t xml:space="preserve"> </t>
    </r>
    <r>
      <rPr>
        <sz val="11"/>
        <color theme="1"/>
        <rFont val="Calibri"/>
        <family val="2"/>
        <charset val="1"/>
      </rPr>
      <t xml:space="preserve">of D.T.(i) is the sum od IS(ij) across all </t>
    </r>
    <r>
      <rPr>
        <b/>
        <sz val="12"/>
        <color theme="1"/>
        <rFont val="Calibri"/>
        <family val="2"/>
        <charset val="1"/>
      </rPr>
      <t xml:space="preserve">A.D.(j)   </t>
    </r>
  </si>
  <si>
    <r>
      <rPr>
        <b/>
        <sz val="11"/>
        <color theme="1"/>
        <rFont val="Calibri"/>
        <family val="2"/>
        <charset val="1"/>
      </rPr>
      <t>Overal Building Score  (</t>
    </r>
    <r>
      <rPr>
        <b/>
        <sz val="14"/>
        <color theme="1"/>
        <rFont val="Calibri"/>
        <family val="2"/>
        <charset val="1"/>
      </rPr>
      <t>OBS</t>
    </r>
    <r>
      <rPr>
        <b/>
        <sz val="11"/>
        <color theme="1"/>
        <rFont val="Calibri"/>
        <family val="2"/>
        <charset val="1"/>
      </rPr>
      <t>)</t>
    </r>
    <r>
      <rPr>
        <sz val="11"/>
        <color theme="1"/>
        <rFont val="Calibri"/>
        <family val="2"/>
        <charset val="1"/>
      </rPr>
      <t xml:space="preserve"> is the weighted average sum of the </t>
    </r>
    <r>
      <rPr>
        <b/>
        <sz val="11"/>
        <color theme="1"/>
        <rFont val="Calibri"/>
        <family val="2"/>
        <charset val="1"/>
      </rPr>
      <t>TIS(i)</t>
    </r>
    <r>
      <rPr>
        <sz val="11"/>
        <color theme="1"/>
        <rFont val="Calibri"/>
        <family val="2"/>
        <charset val="1"/>
      </rPr>
      <t xml:space="preserve"> across all </t>
    </r>
    <r>
      <rPr>
        <b/>
        <sz val="11"/>
        <color theme="1"/>
        <rFont val="Calibri"/>
        <family val="2"/>
        <charset val="1"/>
      </rPr>
      <t xml:space="preserve">D.T.s </t>
    </r>
  </si>
  <si>
    <r>
      <rPr>
        <b/>
        <sz val="11"/>
        <color theme="1"/>
        <rFont val="Calibri"/>
        <family val="2"/>
        <charset val="1"/>
      </rPr>
      <t>Importance Value ImpoD.T.(i)</t>
    </r>
    <r>
      <rPr>
        <sz val="11"/>
        <color theme="1"/>
        <rFont val="Calibri"/>
        <family val="2"/>
        <charset val="1"/>
      </rPr>
      <t xml:space="preserve"> of </t>
    </r>
    <r>
      <rPr>
        <b/>
        <sz val="11"/>
        <color theme="1"/>
        <rFont val="Calibri"/>
        <family val="2"/>
        <charset val="1"/>
      </rPr>
      <t>D.T.(i)</t>
    </r>
    <r>
      <rPr>
        <sz val="11"/>
        <color theme="1"/>
        <rFont val="Calibri"/>
        <family val="2"/>
        <charset val="1"/>
      </rPr>
      <t xml:space="preserve"> in the O.B.S. is the % of each weighted </t>
    </r>
    <r>
      <rPr>
        <b/>
        <sz val="11"/>
        <color theme="1"/>
        <rFont val="Calibri"/>
        <family val="2"/>
        <charset val="1"/>
      </rPr>
      <t>TIS(i)</t>
    </r>
    <r>
      <rPr>
        <sz val="11"/>
        <color theme="1"/>
        <rFont val="Calibri"/>
        <family val="2"/>
        <charset val="1"/>
      </rPr>
      <t xml:space="preserve"> in the O.B.S.</t>
    </r>
  </si>
  <si>
    <r>
      <rPr>
        <b/>
        <sz val="11"/>
        <color theme="1"/>
        <rFont val="Calibri"/>
        <family val="2"/>
        <charset val="1"/>
      </rPr>
      <t xml:space="preserve">Cumulative Impact Score </t>
    </r>
    <r>
      <rPr>
        <b/>
        <sz val="14"/>
        <color theme="1"/>
        <rFont val="Calibri"/>
        <family val="2"/>
        <charset val="1"/>
      </rPr>
      <t xml:space="preserve">CIS(j) </t>
    </r>
    <r>
      <rPr>
        <sz val="11"/>
        <color theme="1"/>
        <rFont val="Calibri"/>
        <family val="2"/>
        <charset val="1"/>
      </rPr>
      <t xml:space="preserve">of </t>
    </r>
    <r>
      <rPr>
        <b/>
        <sz val="11"/>
        <color theme="1"/>
        <rFont val="Calibri"/>
        <family val="2"/>
        <charset val="1"/>
      </rPr>
      <t>A.D.(j)</t>
    </r>
    <r>
      <rPr>
        <sz val="11"/>
        <color theme="1"/>
        <rFont val="Calibri"/>
        <family val="2"/>
        <charset val="1"/>
      </rPr>
      <t xml:space="preserve"> is the weighted average sum of </t>
    </r>
    <r>
      <rPr>
        <b/>
        <sz val="11"/>
        <color theme="1"/>
        <rFont val="Calibri"/>
        <family val="2"/>
        <charset val="1"/>
      </rPr>
      <t>IS(ij)</t>
    </r>
    <r>
      <rPr>
        <sz val="11"/>
        <color theme="1"/>
        <rFont val="Calibri"/>
        <family val="2"/>
        <charset val="1"/>
      </rPr>
      <t xml:space="preserve"> across all </t>
    </r>
    <r>
      <rPr>
        <b/>
        <sz val="11"/>
        <color theme="1"/>
        <rFont val="Calibri"/>
        <family val="2"/>
        <charset val="1"/>
      </rPr>
      <t>D.T.(i)</t>
    </r>
  </si>
  <si>
    <r>
      <rPr>
        <b/>
        <sz val="11"/>
        <color theme="1"/>
        <rFont val="Calibri"/>
        <family val="2"/>
        <charset val="1"/>
      </rPr>
      <t xml:space="preserve">Importance Value Impo A.D.(j) </t>
    </r>
    <r>
      <rPr>
        <sz val="11"/>
        <color theme="1"/>
        <rFont val="Calibri"/>
        <family val="2"/>
        <charset val="1"/>
      </rPr>
      <t xml:space="preserve">of </t>
    </r>
    <r>
      <rPr>
        <b/>
        <sz val="11"/>
        <color theme="1"/>
        <rFont val="Calibri"/>
        <family val="2"/>
        <charset val="1"/>
      </rPr>
      <t>A.D.(j)</t>
    </r>
    <r>
      <rPr>
        <sz val="11"/>
        <color theme="1"/>
        <rFont val="Calibri"/>
        <family val="2"/>
        <charset val="1"/>
      </rPr>
      <t xml:space="preserve"> in the </t>
    </r>
    <r>
      <rPr>
        <b/>
        <sz val="11"/>
        <color theme="1"/>
        <rFont val="Calibri"/>
        <family val="2"/>
        <charset val="1"/>
      </rPr>
      <t>O.B.S.</t>
    </r>
    <r>
      <rPr>
        <sz val="11"/>
        <color theme="1"/>
        <rFont val="Calibri"/>
        <family val="2"/>
        <charset val="1"/>
      </rPr>
      <t xml:space="preserve"> is the % of each</t>
    </r>
    <r>
      <rPr>
        <b/>
        <sz val="11"/>
        <color theme="1"/>
        <rFont val="Calibri"/>
        <family val="2"/>
        <charset val="1"/>
      </rPr>
      <t xml:space="preserve"> CIS(j)</t>
    </r>
    <r>
      <rPr>
        <sz val="11"/>
        <color theme="1"/>
        <rFont val="Calibri"/>
        <family val="2"/>
        <charset val="1"/>
      </rPr>
      <t xml:space="preserve"> in O.B.S.</t>
    </r>
    <r>
      <rPr>
        <b/>
        <sz val="11"/>
        <color theme="1"/>
        <rFont val="Calibri"/>
        <family val="2"/>
        <charset val="1"/>
      </rPr>
      <t xml:space="preserve">     </t>
    </r>
  </si>
  <si>
    <t>DT 2</t>
  </si>
  <si>
    <t>Sensory Disability</t>
  </si>
  <si>
    <t xml:space="preserve">DT 1 - Physical Disability </t>
  </si>
  <si>
    <t>AD 1 - Spatial &amp; Physical Accessibility</t>
  </si>
  <si>
    <t>EC1.1.1</t>
  </si>
  <si>
    <t>Door Accessibility</t>
  </si>
  <si>
    <t>Doorways ≥ 90 cm; automated or manual operation ≤ 20 N; 
handle height 80–110 cm.</t>
  </si>
  <si>
    <t>Door accessibility is a fundamental physical access requirement. If doors are inaccessible, users may be unable to enter or move independently within the office building. It directly affects mobility, safety, evacuation, and daily usability.</t>
  </si>
  <si>
    <t xml:space="preserve">DISABILITY TYPE (ΣDt i = 5 ) </t>
  </si>
  <si>
    <r>
      <rPr>
        <b/>
        <sz val="10"/>
        <color theme="1"/>
        <rFont val="Calibri"/>
        <family val="2"/>
        <charset val="1"/>
      </rPr>
      <t xml:space="preserve">Weight value       </t>
    </r>
    <r>
      <rPr>
        <sz val="10"/>
        <color theme="1"/>
        <rFont val="Calibri"/>
        <family val="2"/>
        <charset val="1"/>
      </rPr>
      <t>W(i)</t>
    </r>
  </si>
  <si>
    <t>Evaluation Criteria</t>
  </si>
  <si>
    <t>Progressive Automation Level</t>
  </si>
  <si>
    <r>
      <rPr>
        <sz val="10"/>
        <color theme="1"/>
        <rFont val="Calibri"/>
        <family val="2"/>
        <charset val="1"/>
      </rPr>
      <t xml:space="preserve">Scores     </t>
    </r>
    <r>
      <rPr>
        <b/>
        <sz val="10"/>
        <color theme="1"/>
        <rFont val="Calibri"/>
        <family val="2"/>
        <charset val="1"/>
      </rPr>
      <t>S(ijk)</t>
    </r>
    <r>
      <rPr>
        <sz val="10"/>
        <color theme="1"/>
        <rFont val="Calibri"/>
        <family val="2"/>
        <charset val="1"/>
      </rPr>
      <t xml:space="preserve">              Score (1 - 5)</t>
    </r>
  </si>
  <si>
    <r>
      <rPr>
        <sz val="10"/>
        <color theme="1"/>
        <rFont val="Calibri"/>
        <family val="2"/>
        <charset val="1"/>
      </rPr>
      <t xml:space="preserve">Adjusted Score </t>
    </r>
    <r>
      <rPr>
        <b/>
        <sz val="10"/>
        <color theme="1"/>
        <rFont val="Calibri"/>
        <family val="2"/>
        <charset val="1"/>
      </rPr>
      <t>~S(ijk)</t>
    </r>
    <r>
      <rPr>
        <sz val="10"/>
        <color theme="1"/>
        <rFont val="Calibri"/>
        <family val="2"/>
        <charset val="1"/>
      </rPr>
      <t>=  W(ijk)*S(ijk)</t>
    </r>
  </si>
  <si>
    <r>
      <rPr>
        <sz val="14"/>
        <color theme="1"/>
        <rFont val="Calibri"/>
        <family val="2"/>
        <charset val="1"/>
      </rPr>
      <t>Σ</t>
    </r>
    <r>
      <rPr>
        <sz val="10"/>
        <color theme="1"/>
        <rFont val="Calibri"/>
        <family val="2"/>
        <charset val="1"/>
      </rPr>
      <t xml:space="preserve">  </t>
    </r>
    <r>
      <rPr>
        <b/>
        <sz val="10"/>
        <color theme="1"/>
        <rFont val="Calibri"/>
        <family val="2"/>
        <charset val="1"/>
      </rPr>
      <t>~S(ijk)</t>
    </r>
  </si>
  <si>
    <r>
      <rPr>
        <b/>
        <sz val="10"/>
        <color theme="1"/>
        <rFont val="Calibri"/>
        <family val="2"/>
        <charset val="1"/>
      </rPr>
      <t>IS(ij)</t>
    </r>
    <r>
      <rPr>
        <sz val="10"/>
        <color theme="1"/>
        <rFont val="Calibri"/>
        <family val="2"/>
        <charset val="1"/>
      </rPr>
      <t>=        (W(ij)*</t>
    </r>
    <r>
      <rPr>
        <sz val="14"/>
        <color theme="1"/>
        <rFont val="Calibri"/>
        <family val="2"/>
        <charset val="1"/>
      </rPr>
      <t>Σ</t>
    </r>
    <r>
      <rPr>
        <sz val="10"/>
        <color theme="1"/>
        <rFont val="Calibri"/>
        <family val="2"/>
        <charset val="1"/>
      </rPr>
      <t xml:space="preserve"> [&gt;S(ijk)]                   </t>
    </r>
  </si>
  <si>
    <t xml:space="preserve">(W(i)*IS(ij)  </t>
  </si>
  <si>
    <t>DT 3</t>
  </si>
  <si>
    <t xml:space="preserve">Cognitive &amp; Neurodiverse </t>
  </si>
  <si>
    <t>EC1.1.2</t>
  </si>
  <si>
    <t>Signage &amp; Wayfinding for Mobility Users</t>
  </si>
  <si>
    <t>Clear directional signage at accessible height (max 160 cm); readable from wheelchair position.</t>
  </si>
  <si>
    <t>Signage is important for orientation and independent navigation, but it becomes meaningful only after physical access is achieved. In office environments, it supports usability rather than enabling basic entry.</t>
  </si>
  <si>
    <t xml:space="preserve">D.T. 1 - Physical Disability   </t>
  </si>
  <si>
    <t>EC(ijk)</t>
  </si>
  <si>
    <t>Criteria</t>
  </si>
  <si>
    <r>
      <rPr>
        <sz val="10"/>
        <color theme="1"/>
        <rFont val="Calibri"/>
        <family val="2"/>
        <charset val="1"/>
      </rPr>
      <t xml:space="preserve">Weighted Value </t>
    </r>
    <r>
      <rPr>
        <b/>
        <sz val="10"/>
        <color theme="1"/>
        <rFont val="Calibri"/>
        <family val="2"/>
        <charset val="1"/>
      </rPr>
      <t>W(ijk)</t>
    </r>
  </si>
  <si>
    <r>
      <rPr>
        <sz val="14"/>
        <color theme="1"/>
        <rFont val="Calibri"/>
        <family val="2"/>
        <charset val="1"/>
      </rPr>
      <t>Σ</t>
    </r>
    <r>
      <rPr>
        <sz val="10"/>
        <color theme="1"/>
        <rFont val="Calibri"/>
        <family val="2"/>
        <charset val="1"/>
      </rPr>
      <t xml:space="preserve"> W(ijk)</t>
    </r>
  </si>
  <si>
    <t>Level 1</t>
  </si>
  <si>
    <t>Level 2</t>
  </si>
  <si>
    <t>Level 3</t>
  </si>
  <si>
    <t>Level 4</t>
  </si>
  <si>
    <t>Level 5</t>
  </si>
  <si>
    <t>DT 4</t>
  </si>
  <si>
    <t xml:space="preserve">Communication &amp; Mental Health  </t>
  </si>
  <si>
    <t>AD 2 - Safety &amp; Environmental Comfort</t>
  </si>
  <si>
    <t>EC1.2.1</t>
  </si>
  <si>
    <t>Thermal Comfort Adaptability</t>
  </si>
  <si>
    <t>Temperature maintained between 20–24 °C; localized or user-controllable systems ensure comfort and safety.</t>
  </si>
  <si>
    <t>Thermal comfort strongly affects physical wellbeing, fatigue, circulation conditions, and overall usability for persons with mobility impairments who may remain indoors for extended periods.</t>
  </si>
  <si>
    <t>Mobility disability</t>
  </si>
  <si>
    <t>Limited or no ability to walk, balance, or move without assistance</t>
  </si>
  <si>
    <t>Doorways ≥ 90 cm; automated or manual operation ≤ 20 N; handle height 80–110 cm.</t>
  </si>
  <si>
    <t>Smart Door Sensors &amp; Assisted Opening Alerts</t>
  </si>
  <si>
    <t>Mobile-Based Door Control (App or NFC)</t>
  </si>
  <si>
    <t>I-Powered Automatic Doors with Adaptive Force</t>
  </si>
  <si>
    <t>Voice &amp; Gesture-Controlled Entry Systems</t>
  </si>
  <si>
    <t>Integrated Smart Accessibility Ecosystem (Digital Twin + Predictive Access)</t>
  </si>
  <si>
    <t>Smart Environmental Monitoring (Sense Layer)</t>
  </si>
  <si>
    <t>Zoned Climate Control (Control Layer)</t>
  </si>
  <si>
    <t>User-Controlled Digital Interfaces (Personal Control Layer)</t>
  </si>
  <si>
    <t>Occupancy-Responsive Climate Adaptation</t>
  </si>
  <si>
    <t>Integrated Adaptive Thermal Ecosystem</t>
  </si>
  <si>
    <t>EC1.3.1</t>
  </si>
  <si>
    <t>Visual Connection to Key Points</t>
  </si>
  <si>
    <t>Major destinations (exits, lifts, restrooms) are visible or directly signposted from accessible routes.</t>
  </si>
  <si>
    <t>Digitally Enhanced “Line-of-Sight” Signage System</t>
  </si>
  <si>
    <t>Context-Aware Digital Signage (Decision Point Displays)</t>
  </si>
  <si>
    <t>Personalized Mobile Wayfinding (Low Cognitive Load Mode)</t>
  </si>
  <si>
    <t>Augmented Reality (AR) Visual Path Guidance</t>
  </si>
  <si>
    <t>Adaptive Smart Environment (Proactive Guidance System)</t>
  </si>
  <si>
    <t>EC1.4.1</t>
  </si>
  <si>
    <t>Low-Force Operation</t>
  </si>
  <si>
    <t>Buttons, touch surfaces, and doors require ≤ 20 N actuation force for ease of use by individuals with limited strength.</t>
  </si>
  <si>
    <t>Low-Force Smart Hardware Interfaces (≤20 N)</t>
  </si>
  <si>
    <t>Touchless &amp; Proximity-Based Controls</t>
  </si>
  <si>
    <t>Voice-Controlled Building Interaction</t>
  </si>
  <si>
    <t>Mobile-Based Remote Control (Personal Device Integration)</t>
  </si>
  <si>
    <t>AI-Driven Predictive &amp; Automated Interaction System</t>
  </si>
  <si>
    <t>EC1.5.1</t>
  </si>
  <si>
    <t>Ergonomic Public Furniture</t>
  </si>
  <si>
    <t>Benches, desks, and tables provide 70 cm knee clearance and appropriate reach heights (80–110 cm).</t>
  </si>
  <si>
    <t>AI-Driven Real-Time Adaptive Interaction System</t>
  </si>
  <si>
    <t>Smart Height-Adjustable Furniture (Adaptive Layer)</t>
  </si>
  <si>
    <t>App &amp; Voice-Controlled Furniture Interaction (User Empowerment Layer)</t>
  </si>
  <si>
    <t>Sensor-Integrated Smart Furniture (Responsive Social Layer)</t>
  </si>
  <si>
    <t>AI-Driven Personalized &amp; Connected Furniture Ecosystem (Advanced Layer)</t>
  </si>
  <si>
    <r>
      <rPr>
        <b/>
        <sz val="12"/>
        <color theme="1"/>
        <rFont val="Calibri"/>
        <family val="2"/>
        <charset val="1"/>
      </rPr>
      <t xml:space="preserve">TIS(i)= </t>
    </r>
    <r>
      <rPr>
        <b/>
        <sz val="20"/>
        <color theme="1"/>
        <rFont val="Calibri"/>
        <family val="2"/>
        <charset val="1"/>
      </rPr>
      <t xml:space="preserve">Σ </t>
    </r>
    <r>
      <rPr>
        <b/>
        <sz val="12"/>
        <color theme="1"/>
        <rFont val="Calibri"/>
        <family val="2"/>
        <charset val="1"/>
      </rPr>
      <t>IS(ij)</t>
    </r>
  </si>
  <si>
    <r>
      <rPr>
        <b/>
        <sz val="12"/>
        <color theme="1"/>
        <rFont val="Calibri"/>
        <family val="2"/>
        <charset val="1"/>
      </rPr>
      <t xml:space="preserve">OBS= </t>
    </r>
    <r>
      <rPr>
        <b/>
        <sz val="20"/>
        <color theme="1"/>
        <rFont val="Calibri"/>
        <family val="2"/>
        <charset val="1"/>
      </rPr>
      <t xml:space="preserve">Σ </t>
    </r>
    <r>
      <rPr>
        <b/>
        <sz val="12"/>
        <color theme="1"/>
        <rFont val="Calibri"/>
        <family val="2"/>
        <charset val="1"/>
      </rPr>
      <t>[W(i)*TIS(i)]</t>
    </r>
  </si>
  <si>
    <t>Impo DT(i)=                [W(i)*TIS(i)]/OBS</t>
  </si>
  <si>
    <r>
      <rPr>
        <b/>
        <sz val="12"/>
        <color theme="1"/>
        <rFont val="Calibri"/>
        <family val="2"/>
        <charset val="1"/>
      </rPr>
      <t>CIS(j)=</t>
    </r>
    <r>
      <rPr>
        <b/>
        <sz val="18"/>
        <color theme="1"/>
        <rFont val="Calibri"/>
        <family val="2"/>
        <charset val="1"/>
      </rPr>
      <t>Σ</t>
    </r>
    <r>
      <rPr>
        <b/>
        <sz val="12"/>
        <color theme="1"/>
        <rFont val="Calibri"/>
        <family val="2"/>
        <charset val="1"/>
      </rPr>
      <t xml:space="preserve">  [W(i)*IS(ij)]</t>
    </r>
  </si>
  <si>
    <t>Impo AD (ji)  =              CIS(j)/OBS</t>
  </si>
  <si>
    <t>DT 5</t>
  </si>
  <si>
    <t xml:space="preserve">Multible / Situational </t>
  </si>
  <si>
    <t>EC1.2.2</t>
  </si>
  <si>
    <t>Air Quality and Ventilation</t>
  </si>
  <si>
    <t>CO₂ &lt; 1000 ppm, PM₂.₅ &lt; 25 µg/m³; ventilation ensures consistent air renewal, monitored by smart sensors.</t>
  </si>
  <si>
    <t>Indoor air quality is critical in office buildings due to long occupancy periods. Poor IAQ directly affects health, concentration, respiratory comfort, and safety for vulnerable users.</t>
  </si>
  <si>
    <t>Chronic health conditions</t>
  </si>
  <si>
    <t>Fatigue, pain, respiratory or cardiovascular disorders</t>
  </si>
  <si>
    <t>Digitally Enhanced Static Signage (Foundation Layer)</t>
  </si>
  <si>
    <t>QR Code / NFC-Triggered Wayfinding (Low-Cost Digital Layer)</t>
  </si>
  <si>
    <t>Indoor Positioning + Accessible Navigation Apps</t>
  </si>
  <si>
    <t>Smart Digital Signage with Adaptive Interfaces</t>
  </si>
  <si>
    <t>AI-Driven Smart Accessibility Ecosystem (Advanced Layer)</t>
  </si>
  <si>
    <t>Smart Air Quality Monitoring (Foundation Layer)</t>
  </si>
  <si>
    <t>Smart Ventilation Automation</t>
  </si>
  <si>
    <t>Intelligent Air Quality Management (AI Layer)</t>
  </si>
  <si>
    <t>Smart Air Purification &amp; Localized Ventilation (Personalized Layer)</t>
  </si>
  <si>
    <t>AI-Driven Predictive Air Quality &amp; Ventilation System (Advanced Layer)</t>
  </si>
  <si>
    <t>EC1.3.2</t>
  </si>
  <si>
    <t>Multisensory Navigation Support</t>
  </si>
  <si>
    <t>Wayfinding includes tactile maps, digital kiosks with voice output, or color-coded floor lines to aid orientation.</t>
  </si>
  <si>
    <t>Smart Tactile Navigation Layer (Physical + Digital Hybrid)</t>
  </si>
  <si>
    <t>Voice-Interactive Wayfinding Kiosks (Multisensory Decision Nodes)</t>
  </si>
  <si>
    <t>Color-Coded + Sensor-Enhanced Navigation Paths</t>
  </si>
  <si>
    <t>Multisensory Personal Navigation (Audio + Haptic Mobile Assistant)</t>
  </si>
  <si>
    <t>Adaptive Multisensory Smart Environment (AI + IoT Integration)</t>
  </si>
  <si>
    <t>EC1.4.2</t>
  </si>
  <si>
    <t>Haptic and Auditory Feedback</t>
  </si>
  <si>
    <t>Smart controls provide tactile or audio feedback to confirm successful operation without relying solely on vision.</t>
  </si>
  <si>
    <t>Haptic-Enabled Smart Buttons &amp; Panels (Baseline Feedback)</t>
  </si>
  <si>
    <t>Audio-Feedback Smart Controls (Voice Confirmation Layer)</t>
  </si>
  <si>
    <t>Multisensory Control Interfaces (Haptic + Audio + Visual Integration)</t>
  </si>
  <si>
    <t>Wearable-Integrated Feedback System</t>
  </si>
  <si>
    <t>AI-Powered Adaptive Feedback Ecosystem</t>
  </si>
  <si>
    <t>EC1.5.2</t>
  </si>
  <si>
    <t>Rest and Interaction Points</t>
  </si>
  <si>
    <t>Resting zones every 30 m along outdoor or indoor public circulation routes with accessible seating.</t>
  </si>
  <si>
    <t>Smart Rest Point Identification &amp; Navigation (Baseline Layer)</t>
  </si>
  <si>
    <t>Intelligent Seating Availability System</t>
  </si>
  <si>
    <t>Adaptive Rest Zones (Comfort Personalization)</t>
  </si>
  <si>
    <t>Social Interaction &amp; Assistance Layer</t>
  </si>
  <si>
    <t>Predictive Accessibility &amp; Digital Twin Optimization (Advanced Layer)</t>
  </si>
  <si>
    <r>
      <rPr>
        <b/>
        <sz val="14"/>
        <color theme="1"/>
        <rFont val="Calibri"/>
        <family val="2"/>
        <charset val="1"/>
      </rPr>
      <t xml:space="preserve">Σ </t>
    </r>
    <r>
      <rPr>
        <b/>
        <sz val="11"/>
        <color theme="1"/>
        <rFont val="Calibri"/>
        <family val="2"/>
        <charset val="1"/>
      </rPr>
      <t>(</t>
    </r>
    <r>
      <rPr>
        <b/>
        <sz val="10"/>
        <color theme="1"/>
        <rFont val="Calibri"/>
        <family val="2"/>
        <charset val="1"/>
      </rPr>
      <t>W i</t>
    </r>
    <r>
      <rPr>
        <b/>
        <sz val="11"/>
        <color theme="1"/>
        <rFont val="Calibri"/>
        <family val="2"/>
        <charset val="1"/>
      </rPr>
      <t xml:space="preserve"> )</t>
    </r>
  </si>
  <si>
    <t>EC1.2.3</t>
  </si>
  <si>
    <t>Lighting and Glare Control</t>
  </si>
  <si>
    <t>Minimum 300 lux in circulation areas; glare index (UGR) &lt; 19; adjustable illumination levels preferred.</t>
  </si>
  <si>
    <t>Proper lighting supports safe movement, spatial awareness, and reduced visual strain. Glare reduction is especially important in office environments with screens and circulation areas.</t>
  </si>
  <si>
    <t>Temporary disabilities</t>
  </si>
  <si>
    <t>Injuries, pregnancy, short-term limitations</t>
  </si>
  <si>
    <t>Smart Lux and Occupancy Sensor Network</t>
  </si>
  <si>
    <t>Dimmable LED Smart Lighting System</t>
  </si>
  <si>
    <t>Automated Daylight and Glare Control (Smart Blinds / Electrochromic Glass)</t>
  </si>
  <si>
    <t>Accessible Hands-Free Lighting Control System</t>
  </si>
  <si>
    <t>AI-Based Adaptive Lighting and Predictive Glare Management</t>
  </si>
  <si>
    <t>EC1.3.3</t>
  </si>
  <si>
    <t>Visibility and Lighting of Pathways</t>
  </si>
  <si>
    <t>Circulation zones maintain uniform lighting ≥ 300 lux, ensuring visibility of wayfinding cues and floor textures.</t>
  </si>
  <si>
    <t>Smart Uniform Lighting System (Baseline Visibility ≥300 lux)</t>
  </si>
  <si>
    <t>Highlighted Wayfinding Zones (Contrast Lighting Layers)</t>
  </si>
  <si>
    <t>LED Pathway Guidance System (Continuous Visual Flow)</t>
  </si>
  <si>
    <t>Sensor-Based Adaptive Lighting Guidance</t>
  </si>
  <si>
    <t>AI-Driven Smart Wayfinding Lighting Ecosystem</t>
  </si>
  <si>
    <t>EC1.4.3</t>
  </si>
  <si>
    <t>Control Response Time</t>
  </si>
  <si>
    <t>Device interfaces react within ≤ 1 s to inputs, avoiding double activation and frustration for slower motor users.</t>
  </si>
  <si>
    <t>Instant-Response Input Hardware (≤1 s Baseline)</t>
  </si>
  <si>
    <t>Immediate Multisensory Feedback Confirmation</t>
  </si>
  <si>
    <t>Input Debounce &amp; Error-Prevention Logic</t>
  </si>
  <si>
    <t>Predictive Pre-Activation &amp; Smart Shortcuts</t>
  </si>
  <si>
    <t>EC1.5.3</t>
  </si>
  <si>
    <t>Adaptable Participation Equipment</t>
  </si>
  <si>
    <t>Tables, displays, and shared devices are height-adjustable and operable with one hand.</t>
  </si>
  <si>
    <t>Digitally Adjustable Furniture (Foundation Layer)</t>
  </si>
  <si>
    <t>One-Hand &amp; Low-Effort Interface Systems</t>
  </si>
  <si>
    <t>Personal Device Integration (Seamless Control Layer)</t>
  </si>
  <si>
    <t>Collaborative &amp; Inclusive Interaction Systems</t>
  </si>
  <si>
    <t>Context-Aware Adaptive Participation (Advanced Layer)</t>
  </si>
  <si>
    <t>AD 1</t>
  </si>
  <si>
    <t xml:space="preserve">Spatial &amp; Physical Accessibility </t>
  </si>
  <si>
    <t>EC1.2.4</t>
  </si>
  <si>
    <t>Smart Monitoring of Safety &amp; Comfort</t>
  </si>
  <si>
    <t>Integrated digital systems or sensors continuously track IAQ, temperature, lighting, and noise, issuing alerts when thresholds are exceeded.</t>
  </si>
  <si>
    <t>Smart monitoring enhances operational control and preventive management, but it acts mainly as a supporting mechanism rather than a direct environmental condition itself.</t>
  </si>
  <si>
    <t>Age-related limitations</t>
  </si>
  <si>
    <t>Decline in mobility, hearing, and vision in order adults</t>
  </si>
  <si>
    <t>Smart Environmental Sensor Network (Foundation Layer)</t>
  </si>
  <si>
    <t>Accessible Smart Alert &amp; Notification System</t>
  </si>
  <si>
    <t>Automated Comfort Control System</t>
  </si>
  <si>
    <t>Predictive Comfort &amp; Safety Analytics (AI Layer)</t>
  </si>
  <si>
    <t>Adaptive Personal Comfort Profiles (User-Centered Smart Environment)</t>
  </si>
  <si>
    <t>AD 2</t>
  </si>
  <si>
    <t>Safety &amp; Environmental Comfort</t>
  </si>
  <si>
    <t>AD 3 - Cognitive &amp; Navigational Accessibility</t>
  </si>
  <si>
    <t>Direct visibility and clear signposting of major destinations are fundamental for efficient navigation and independent movement within office environments. This criterion has the greatest direct impact on orientation and usability.</t>
  </si>
  <si>
    <t xml:space="preserve">D.T. 2 - Sensory Disability  </t>
  </si>
  <si>
    <t>AD 3</t>
  </si>
  <si>
    <t>Cognitive &amp; Navigational Accessibility</t>
  </si>
  <si>
    <t>Multisensory wayfinding systems significantly improve accessibility for users with cognitive, sensory, or mobility limitations by providing alternative navigation methods and reducing dependence on assistance.</t>
  </si>
  <si>
    <t>Visual disability</t>
  </si>
  <si>
    <t>Blind or low-vision users requiring tactile and visual cues</t>
  </si>
  <si>
    <t>EC2.1.1</t>
  </si>
  <si>
    <t>Hazard Warning Surfaces</t>
  </si>
  <si>
    <t>Tactile warning patterns (domes or ribs) before stairs, ramps, and intersections.</t>
  </si>
  <si>
    <t>Augmented Tactile Surfaces (Enhanced Baseline)</t>
  </si>
  <si>
    <t>Audio-Tactile Warning Nodes</t>
  </si>
  <si>
    <t>Smartphone-Linked Hazard Alerts (Personal Layer)</t>
  </si>
  <si>
    <t>Dynamic Hazard Detection &amp; Response</t>
  </si>
  <si>
    <t>Predictive Multisensory Guidance System (Advanced Layer)</t>
  </si>
  <si>
    <t>EC2.2.1</t>
  </si>
  <si>
    <t>Multisensory Alarm Systems</t>
  </si>
  <si>
    <t>Emergency alarms incorporate synchronized visual, audible, and vibration alerts to ensure inclusiveness for users with hearing or visual impairments.</t>
  </si>
  <si>
    <t>Synchronized Multisensory Alarm Core (Foundation Layer)</t>
  </si>
  <si>
    <t>Localized &amp; Directional Multisensory Alerts</t>
  </si>
  <si>
    <t>Personal Multisensory Alert Integration (Devices &amp; Wearables)</t>
  </si>
  <si>
    <t>Context-Aware Adaptive Alarm System</t>
  </si>
  <si>
    <t>Predictive Multisensory Safety Ecosystem (Advanced Layer)</t>
  </si>
  <si>
    <t>EC2.3.1</t>
  </si>
  <si>
    <t>Multisensory Wayfinding System</t>
  </si>
  <si>
    <t>Circulation routes integrate tactile, auditory, and visual cues to guide users with different sensory needs.</t>
  </si>
  <si>
    <t>Integrated Multisensory Wayfinding Nodes (Foundation Layer)</t>
  </si>
  <si>
    <t>Continuous Multisensory Pathways</t>
  </si>
  <si>
    <t>Personal Navigation Interface (Mobile &amp; Wearables)</t>
  </si>
  <si>
    <t>Context-Aware Adaptive Wayfinding</t>
  </si>
  <si>
    <t>Predictive Multisensory Navigation Ecosystem (Advanced Layer)</t>
  </si>
  <si>
    <t>EC2.4.1</t>
  </si>
  <si>
    <t>Voice Command Functionality</t>
  </si>
  <si>
    <t>Core building functions (entry, lighting, elevators) include speech-recognition options for touch-free operation.</t>
  </si>
  <si>
    <t>Basic Voice Command Control Points (Foundation Layer)</t>
  </si>
  <si>
    <t>Natural Language &amp; Multilingual Voice Interface</t>
  </si>
  <si>
    <t>Personal Voice Profiles &amp; Device Integration</t>
  </si>
  <si>
    <t>Context-Aware Voice Assistance</t>
  </si>
  <si>
    <t>Conversational AI Building Ecosystem (Advanced Layer)</t>
  </si>
  <si>
    <t>EC2.5.1</t>
  </si>
  <si>
    <t>Hearing Loop and Assistive Systems</t>
  </si>
  <si>
    <t>Meeting rooms and auditoria are equipped with induction loops or compatible assistive hearing technologies.</t>
  </si>
  <si>
    <t>Induction Loop Infrastructure (Foundation Layer)</t>
  </si>
  <si>
    <t>Multi-Channel Assistive Listening Systems</t>
  </si>
  <si>
    <t>Real-Time Speech-to-Text &amp; Caption Integration</t>
  </si>
  <si>
    <t>Interactive &amp; Personalized Listening Experience</t>
  </si>
  <si>
    <t>Intelligent Inclusive Communication Ecosystem (Advanced Layer)</t>
  </si>
  <si>
    <t>AD 4</t>
  </si>
  <si>
    <t>Digital Interacion &amp; Smart Usability</t>
  </si>
  <si>
    <t>Adequate lighting is essential for recognizing routes, textures, and signage; however, it primarily supports the effectiveness of the other navigation elements rather than functioning independently.</t>
  </si>
  <si>
    <t>Hearing disability</t>
  </si>
  <si>
    <t>Deaf or hard-of-hearing individuals needing visual and vibration cues</t>
  </si>
  <si>
    <t>EC2.1.2</t>
  </si>
  <si>
    <t>Auditory Guidance Systems</t>
  </si>
  <si>
    <t>Audio beacons or voice navigation at decision points and elevators.</t>
  </si>
  <si>
    <t>Fixed Audio Beacons at Decision Points (Foundation Layer)</t>
  </si>
  <si>
    <t>Directional &amp; Spatial Audio Guidance</t>
  </si>
  <si>
    <t>Smartphone &amp; Wearable Audio Navigation (Personal Layer)</t>
  </si>
  <si>
    <t>Context-Aware Audio Assistance</t>
  </si>
  <si>
    <t>Intelligent Multisensory Audio Ecosystem (Advanced Layer)</t>
  </si>
  <si>
    <t>EC2.2.2</t>
  </si>
  <si>
    <t>Acoustic Signal Clarity</t>
  </si>
  <si>
    <t>Audible alarms and voice messages are intelligible with speech transmission index (STI) ≥ 0.6 and sound level ≥ 15 dB above ambient noise.</t>
  </si>
  <si>
    <t>Acoustic Zoning &amp; Sound Calibration (Foundation Layer)</t>
  </si>
  <si>
    <t>Directional &amp; Distributed Speaker Systems</t>
  </si>
  <si>
    <t>Real-Time Noise Monitoring &amp; Adaptive Volume Control</t>
  </si>
  <si>
    <t>Multichannel Redundant Communication System (Advanced Layer)</t>
  </si>
  <si>
    <t>EC2.3.2</t>
  </si>
  <si>
    <t>Emergency Wayfinding Accessibility</t>
  </si>
  <si>
    <t>Escape routes and exit signage integrate tactile and audio features for multi-sensory evacuation support.</t>
  </si>
  <si>
    <t>Multisensory Exit Signage Nodes (Foundation Layer)</t>
  </si>
  <si>
    <t>Continuous Multisensory Escape Routes</t>
  </si>
  <si>
    <t>Personal Emergency Navigation System (Mobile &amp; Wearables)</t>
  </si>
  <si>
    <t>Dynamic &amp; Context-Aware Evacuation Guidance</t>
  </si>
  <si>
    <t>Predictive Multisensory Evacuation Ecosystem (Advanced Layer)</t>
  </si>
  <si>
    <t>EC2.4.2</t>
  </si>
  <si>
    <t>Captioning and Visual Alarms</t>
  </si>
  <si>
    <t>Audio messages and system alerts are accompanied by captions or visual indicators.</t>
  </si>
  <si>
    <t>Real-Time Captioning for Core Announcements (Foundation Layer)</t>
  </si>
  <si>
    <t>Visual Alert Layer for System Notifications</t>
  </si>
  <si>
    <t>Personalized Captioning &amp; Alert Delivery (Mobile Integration)</t>
  </si>
  <si>
    <t>Context-Aware Visual Communication System</t>
  </si>
  <si>
    <t>Integrated Multimodal Communication Ecosystem (Advanced Layer)</t>
  </si>
  <si>
    <t>EC2.5.2</t>
  </si>
  <si>
    <t>High-Contrast Environmental Design</t>
  </si>
  <si>
    <t>Color contrast between walls, floors, and furniture ≥ 70% to enhance visual perception.</t>
  </si>
  <si>
    <t>Digitally Verified High-Contrast Surfaces (Foundation Layer)</t>
  </si>
  <si>
    <t>Interactive High-Contrast Wayfinding Surfaces</t>
  </si>
  <si>
    <t>Personalized Visual Contrast Adaptation (User Layer)</t>
  </si>
  <si>
    <t>Intelligent Adaptive Contrast Environment (Advanced Layer)</t>
  </si>
  <si>
    <t>AD 5</t>
  </si>
  <si>
    <t>Social induction &amp; Human Experience</t>
  </si>
  <si>
    <t>AD 4 - Digital Interaction &amp; Smart Usability</t>
  </si>
  <si>
    <t>Physical ease of operation is the most critical factor for users with limited strength, dexterity, or mobility impairments. If controls require excessive force, accessibility is fundamentally compromised.</t>
  </si>
  <si>
    <t>EC2.1.3</t>
  </si>
  <si>
    <t>Visual Alerts for Alarms</t>
  </si>
  <si>
    <t>Alarm systems supported by synchronized flashing lights.</t>
  </si>
  <si>
    <t>Synchronized Visual Alarm Network (Foundation Layer)</t>
  </si>
  <si>
    <t>Zoned &amp; Color-Coded Visual Messaging</t>
  </si>
  <si>
    <t>Personal Visual Alert Integration (Mobile &amp; Wearables)</t>
  </si>
  <si>
    <t>Context-Aware Visual Communication Surfaces</t>
  </si>
  <si>
    <t>Predictive &amp; Adaptive Visual Safety Ecosystem (Advanced Layer)</t>
  </si>
  <si>
    <t>EC2.2.3</t>
  </si>
  <si>
    <t>Emergency Lighting for Low Vision</t>
  </si>
  <si>
    <t>Emergency lighting ensures minimum 1 lux along evacuation paths and uses warm-white tones to minimize glare.</t>
  </si>
  <si>
    <t>Enhanced Low-Glare Emergency Lighting (Baseline Layer)</t>
  </si>
  <si>
    <t>Contrast-Enhanced Pathway Lighting</t>
  </si>
  <si>
    <t>Directional &amp; Dynamic Lighting Guidance</t>
  </si>
  <si>
    <t>Personal Adaptive Lighting Support (Devices &amp; Wearables)</t>
  </si>
  <si>
    <t>Intelligent Adaptive Lighting Ecosystem (Advanced Layer)</t>
  </si>
  <si>
    <t>EC2.4.3</t>
  </si>
  <si>
    <t>Personal Assistive Synchronization</t>
  </si>
  <si>
    <t>Smart systems connect with hearing aids, screen readers, or mobile accessibility apps for personalized usability.</t>
  </si>
  <si>
    <t>Standardized Assistive Device Connectivity (Foundation Layer)</t>
  </si>
  <si>
    <t>Personalized Accessibility Profiles</t>
  </si>
  <si>
    <t>Cross-Platform Assistive Integration</t>
  </si>
  <si>
    <t>Context-Aware Assistive Synchronization</t>
  </si>
  <si>
    <t>Unified Assistive Ecosystem (Advanced Layer)</t>
  </si>
  <si>
    <t>EC2.5.3</t>
  </si>
  <si>
    <t>Smart Sensory Adaptation</t>
  </si>
  <si>
    <t>Automated systems adjust lighting, volume, or visual cues based on ambient noise and brightness conditions.</t>
  </si>
  <si>
    <t>Environmental Sensing Network (Foundation Layer)</t>
  </si>
  <si>
    <t>Rule-Based Sensory Adjustments</t>
  </si>
  <si>
    <t>Multisensory Feedback Balancing</t>
  </si>
  <si>
    <t>Personalized Sensory Profiles (User Layer)</t>
  </si>
  <si>
    <t>AI-Driven Predictive Sensory Environment (Advanced Layer)</t>
  </si>
  <si>
    <t>Overal Building Score  (OBS)</t>
  </si>
  <si>
    <t>Multisensory feedback improves usability, confirmation of actions, and user confidence, especially when visual attention or motor precision is limited.</t>
  </si>
  <si>
    <t>Houses - Single, Family homes</t>
  </si>
  <si>
    <t>Office buildings - Workplaces for companies</t>
  </si>
  <si>
    <t>Factories - Manufacturing goods</t>
  </si>
  <si>
    <t>Schools and universities</t>
  </si>
  <si>
    <t>Churches</t>
  </si>
  <si>
    <t>Stadiums and arenas</t>
  </si>
  <si>
    <t>Airports and train stations</t>
  </si>
  <si>
    <t>Fast and reliable system response prevents repeated actions, frustration, and operational errors, supporting smoother interaction with smart building technologies.</t>
  </si>
  <si>
    <t xml:space="preserve">D.T. 3 - Cognitive &amp; Neurodiverse </t>
  </si>
  <si>
    <t>Intergration with NEB Self Assessment Scheme</t>
  </si>
  <si>
    <t>Appartments / Flats - Multible units in one building</t>
  </si>
  <si>
    <t>Retal stores - Shops and Boutiques</t>
  </si>
  <si>
    <t>Warehouses Storage and distribution</t>
  </si>
  <si>
    <t>Hospitals and clinics</t>
  </si>
  <si>
    <t>Monques</t>
  </si>
  <si>
    <t>Cinemas and theaters</t>
  </si>
  <si>
    <t>Bridges and towers</t>
  </si>
  <si>
    <t>AD 5 - Social induction &amp; Human Experience</t>
  </si>
  <si>
    <t>Ergonomically accessible furniture is fundamental for daily usability, comfort, and equal participation in office and shared public environments.</t>
  </si>
  <si>
    <t>Cognitive disabilities</t>
  </si>
  <si>
    <t>Intellectual or memory-related limitations (e.g., dementia).</t>
  </si>
  <si>
    <t>EC3.1.1</t>
  </si>
  <si>
    <t>Soothing Lighting &amp; Color Temperature</t>
  </si>
  <si>
    <t>Avoids flicker and blue-rich lighting; color temperature 2700–4000 K.</t>
  </si>
  <si>
    <t>Flicker-Free, Tunable White Lighting (Foundation Layer)</t>
  </si>
  <si>
    <t>Circadian &amp; Time-Based Lighting Adjustments.</t>
  </si>
  <si>
    <t>Zonal Sensory Lighting Control</t>
  </si>
  <si>
    <t>Personalized Lighting Profiles (User Layer)</t>
  </si>
  <si>
    <t>Adaptive Neuro-Inclusive Lighting System (Advanced Layer)</t>
  </si>
  <si>
    <t>EC3.2.1</t>
  </si>
  <si>
    <t>Predictable Environmental Transitions</t>
  </si>
  <si>
    <t>Gradual changes in lighting, sound, and temperature between zones prevent sensory overstimulation or confusion.</t>
  </si>
  <si>
    <t>Zoned Environmental Gradients (Foundation Layer)</t>
  </si>
  <si>
    <t>Time-Based Environmental Transitions</t>
  </si>
  <si>
    <t>Transition Signaling &amp; Anticipation Cues</t>
  </si>
  <si>
    <t>Personalized Transition Preferences (User Layer)</t>
  </si>
  <si>
    <t>Predictive Adaptive Transition System (Advanced Layer)</t>
  </si>
  <si>
    <t>EC3.3.1</t>
  </si>
  <si>
    <t>Simplified Wayfinding Maps</t>
  </si>
  <si>
    <t>Floor maps use minimalistic graphic language and recognizable icons, avoiding information overload.</t>
  </si>
  <si>
    <t>Digitized Simplified Map System (Foundation Layer)</t>
  </si>
  <si>
    <t>QR / NFC Smart Entry Points (Low-Effort Access)</t>
  </si>
  <si>
    <t>Step-by-Step Navigation Mode (Cognitive Load Reduction)</t>
  </si>
  <si>
    <t>Personalization &amp; Sensory Adaptation Layer</t>
  </si>
  <si>
    <t>Predictive &amp; Assistive AI Navigation (Advanced Layer)</t>
  </si>
  <si>
    <t>EC3.4.1</t>
  </si>
  <si>
    <t>Visual Focus Stability</t>
  </si>
  <si>
    <t>Screen transitions avoid flashing or rapid animations; frame rates ≥ 60 Hz to prevent sensory overload.</t>
  </si>
  <si>
    <t>Motion-Stable Interface Framework (Baseline Control Layer)</t>
  </si>
  <si>
    <t>Persistent Visual Anchors (Continuity Layer)</t>
  </si>
  <si>
    <t>Low-Stimulus Transition System (Cognitive Flow Layer)</t>
  </si>
  <si>
    <t>Focus-Guided Interaction Mode (Attention Support Layer)</t>
  </si>
  <si>
    <t>Adaptive Sensory Regulation System (Personalization Layer)</t>
  </si>
  <si>
    <t>EC3.5.1</t>
  </si>
  <si>
    <t>Low-Stimulus Participation Zones</t>
  </si>
  <si>
    <t>Dedicated quiet or low-sensory areas are available near shared spaces to support comfort and focus.</t>
  </si>
  <si>
    <r>
      <rPr>
        <b/>
        <sz val="10"/>
        <color theme="1"/>
        <rFont val="Calibri"/>
        <family val="2"/>
        <charset val="1"/>
      </rPr>
      <t>Low-Stimulus Zone Visibility &amp; Discovery</t>
    </r>
    <r>
      <rPr>
        <sz val="10"/>
        <color theme="1"/>
        <rFont val="Calibri"/>
        <family val="2"/>
        <charset val="1"/>
      </rPr>
      <t xml:space="preserve"> (Awareness Layer)</t>
    </r>
  </si>
  <si>
    <t>Real-Time Sensory Condition Indicators (Transparency Layer)</t>
  </si>
  <si>
    <t>Pre-Engagement Preview &amp; Booking (Control Layer)</t>
  </si>
  <si>
    <t>Gentle Social Interaction Mediation (Participation Layer)</t>
  </si>
  <si>
    <t>Personalized Comfort &amp; Transition Support (Adaptive Experience Layer)</t>
  </si>
  <si>
    <t>NEB Class</t>
  </si>
  <si>
    <t>AccesS Equivalent (0 - 5)</t>
  </si>
  <si>
    <t>AccesS Equivalent (0 - 100)</t>
  </si>
  <si>
    <t>Meaning</t>
  </si>
  <si>
    <t>Townhouses - Connected homes</t>
  </si>
  <si>
    <t>Shopping malls - Large complexes with many stores</t>
  </si>
  <si>
    <t>Power plants - Energy generation</t>
  </si>
  <si>
    <t>Libraries</t>
  </si>
  <si>
    <t>Temples</t>
  </si>
  <si>
    <t>Gyms and sports centers</t>
  </si>
  <si>
    <t>Skyscrapers</t>
  </si>
  <si>
    <t>Accessible resting areas improve mobility endurance, reduce fatigue, and support social interaction, particularly in large office buildings and circulation areas.</t>
  </si>
  <si>
    <t>Neurodiverse conditions</t>
  </si>
  <si>
    <t>ADHD, dyslexia, autism; need predictable, low-stimulus design</t>
  </si>
  <si>
    <t>EC3.1.2</t>
  </si>
  <si>
    <t>Navigational Cues Reinforced Digitally</t>
  </si>
  <si>
    <t>Indoor maps or apps include simplified “calm” mode with minimal distractions.</t>
  </si>
  <si>
    <t>Simplified Digital Wayfinding (“Calm Mode”) (Foundation Layer)</t>
  </si>
  <si>
    <t>Sequential &amp; Chunked Navigation Guidance</t>
  </si>
  <si>
    <t>Multisensory Reinforcement (Low-Stimulation)</t>
  </si>
  <si>
    <t>Personalized Cognitive Navigation Profiles</t>
  </si>
  <si>
    <t>Predictive &amp; Adaptive Calm Navigation System (Advanced Layer)</t>
  </si>
  <si>
    <t>EC3.2.2</t>
  </si>
  <si>
    <t>Acoustic and Visual Balance</t>
  </si>
  <si>
    <t>Environments maintain moderate sound levels (&lt; 45 dB(A)) and neutral lighting to support focus and emotional regulation.</t>
  </si>
  <si>
    <t>Real-Time Acoustic &amp; Lighting Monitoring (Foundation Layer)</t>
  </si>
  <si>
    <t>Rule-Based Balance Controls (Stabilization Layer)</t>
  </si>
  <si>
    <t>Multisensory Balance Feedback (User Awareness Layer)</t>
  </si>
  <si>
    <t>Personalized Sensory Balance Profiles (User Layer)</t>
  </si>
  <si>
    <t>AI-Driven Sensory Balance Ecosystem (Advanced Layer)</t>
  </si>
  <si>
    <t>EC3.3.2</t>
  </si>
  <si>
    <t>Spatial Familiarity Across Floors</t>
  </si>
  <si>
    <t>Identical layout logic and wayfinding color codes are used on each floor for intuitive cross-level navigation.</t>
  </si>
  <si>
    <t>Repeating Digital Floor “Template” System (Baseline Consistency)</t>
  </si>
  <si>
    <t>Cross-Floor Map Syncing (Vertical Continuity)</t>
  </si>
  <si>
    <t>Vertical Navigation Guidance (Floor Transition Support)</t>
  </si>
  <si>
    <t>Familiar Landmark Replication System (Anchor Reinforcement)</t>
  </si>
  <si>
    <t>Personalized Spatial Memory Assist (Adaptive Familiarity Layer)</t>
  </si>
  <si>
    <t>EC3.4.2</t>
  </si>
  <si>
    <t>Personalized User Profiles</t>
  </si>
  <si>
    <t>Smart systems allow saving of preferred settings for brightness, sound, and layout simplicity.</t>
  </si>
  <si>
    <t>Basic Preference Profiles (Foundational Layer)</t>
  </si>
  <si>
    <t>Quick-Access Profile Switching (Usability Layer)</t>
  </si>
  <si>
    <t>Context-Aware Profile Activation (Smart Trigger Layer)</t>
  </si>
  <si>
    <t>Behavioral Learning &amp; Preference Refinement (Adaptive Layer)</t>
  </si>
  <si>
    <t>Cognitive Support Profiles (Assistive Intelligence Layer)</t>
  </si>
  <si>
    <t>EC3.5.2</t>
  </si>
  <si>
    <t>Inclusive Color and Lighting Strategy</t>
  </si>
  <si>
    <t>Calming, non-flickering light sources (3000–4000 K) and neutral color schemes reduce cognitive load.</t>
  </si>
  <si>
    <r>
      <rPr>
        <b/>
        <sz val="10"/>
        <color theme="1"/>
        <rFont val="Calibri"/>
        <family val="2"/>
        <charset val="1"/>
      </rPr>
      <t>Digitally Governed Lighting Baseline</t>
    </r>
    <r>
      <rPr>
        <sz val="10"/>
        <color theme="1"/>
        <rFont val="Calibri"/>
        <family val="2"/>
        <charset val="1"/>
      </rPr>
      <t xml:space="preserve"> (Stability Layer)</t>
    </r>
  </si>
  <si>
    <t>Zone-Based Lighting &amp; Color Profiles (Environmental Structuring Layer)</t>
  </si>
  <si>
    <t>Gradual Transition Lighting System (Adaptation Layer)</t>
  </si>
  <si>
    <r>
      <rPr>
        <sz val="10"/>
        <color theme="1"/>
        <rFont val="Calibri"/>
        <family val="2"/>
        <charset val="1"/>
      </rPr>
      <t xml:space="preserve">User-Controlled Micro-Environments </t>
    </r>
    <r>
      <rPr>
        <b/>
        <sz val="10"/>
        <color theme="1"/>
        <rFont val="Calibri"/>
        <family val="2"/>
        <charset val="1"/>
      </rPr>
      <t>(Personal Comfort Layer)</t>
    </r>
  </si>
  <si>
    <t>Adaptive Sensory Optimization System (Intelligent Layer)</t>
  </si>
  <si>
    <t>&lt; 40</t>
  </si>
  <si>
    <t>0 -2</t>
  </si>
  <si>
    <t>Non- compliant / Needs improvement</t>
  </si>
  <si>
    <t>Dormitories</t>
  </si>
  <si>
    <t>Hotels - Accommodation for travelers</t>
  </si>
  <si>
    <t>Workshops - Small scale production</t>
  </si>
  <si>
    <t>Government buildings</t>
  </si>
  <si>
    <t>Synagogues</t>
  </si>
  <si>
    <t>Concert halls</t>
  </si>
  <si>
    <t>Museums</t>
  </si>
  <si>
    <t>Height-adjustable and one-hand operable equipment is critical for enabling active participation in meetings, collaborative workspaces, and shared services.</t>
  </si>
  <si>
    <t>EC3.2.3</t>
  </si>
  <si>
    <t>Calm Emergency Waiting Areas</t>
  </si>
  <si>
    <t>Refuge and waiting areas are acoustically buffered and visually simple to prevent sensory distress during emergencies.</t>
  </si>
  <si>
    <t>Digitally Monitored Calm Refuge Zones (Foundation Layer)</t>
  </si>
  <si>
    <t>Controlled Multisensory Environment (Stabilization Layer)</t>
  </si>
  <si>
    <t>Clear &amp; Reassuring Information Displays</t>
  </si>
  <si>
    <t>Personalized Sensory Comfort Controls (User Layer)</t>
  </si>
  <si>
    <t>Intelligent Calm Support System (Advanced Layer)</t>
  </si>
  <si>
    <t>40 - 59</t>
  </si>
  <si>
    <t>Acceptable</t>
  </si>
  <si>
    <t xml:space="preserve">DT 2 - Sensory Disability  </t>
  </si>
  <si>
    <t>Tactile warning surfaces are essential for safe movement and hazard detection, particularly near stairs, ramps, and circulation intersections. They provide continuous passive guidance throughout the building.</t>
  </si>
  <si>
    <t>60 - 84</t>
  </si>
  <si>
    <t>Good</t>
  </si>
  <si>
    <t>Audio guidance systems significantly improve independent navigation and orientation for visually impaired users, especially in complex office layouts and vertical circulation areas.</t>
  </si>
  <si>
    <t xml:space="preserve">D.T. 4 - Communication &amp; Mental Health  </t>
  </si>
  <si>
    <t>&gt; = 85</t>
  </si>
  <si>
    <t>Excellent / Best practice</t>
  </si>
  <si>
    <t>Visual alarm systems are critical life-safety elements for users with hearing impairments, ensuring equal access to emergency notifications and evacuation information.</t>
  </si>
  <si>
    <t>Speech &amp; communication disabilities</t>
  </si>
  <si>
    <t>Difficulty speaking or understanding spoken language</t>
  </si>
  <si>
    <t>EC4.1.1</t>
  </si>
  <si>
    <t>Color Temperature Regulation</t>
  </si>
  <si>
    <t>Warm light (&lt;4000K) used in circulation and waiting zones to reduce stress.</t>
  </si>
  <si>
    <t>Smart Circadian Lighting System (Foundation Layer)</t>
  </si>
  <si>
    <t>Digital Wayfinding with Sensory-Aware Navigation</t>
  </si>
  <si>
    <t>Environmental Personalization via User Profiles</t>
  </si>
  <si>
    <t>AI-Driven Stress Detection &amp; Adaptive Environments</t>
  </si>
  <si>
    <t>Digital Twin for Accessibility Optimization (Advanced Layer)</t>
  </si>
  <si>
    <t>EC4.2.1</t>
  </si>
  <si>
    <t>Stress-Reducing Lighting Design</t>
  </si>
  <si>
    <t>Lighting systems avoid flicker, provide warm color tones (2700–3500 K), and support calm visual environments.</t>
  </si>
  <si>
    <t>Flicker-Free Human-Centric Lighting (Baseline Infrastructure)</t>
  </si>
  <si>
    <t>Zonal “Calm Lighting” Scenarios (Pre-Programmed Environments)</t>
  </si>
  <si>
    <t>Occupancy &amp; Sensory-Responsive Lighting Automation</t>
  </si>
  <si>
    <t>Personal Lighting Control via Assistive Interfaces</t>
  </si>
  <si>
    <t>AI-Driven Adaptive Lighting Ecosystem (Advanced Stage)</t>
  </si>
  <si>
    <t>EC4.3.1</t>
  </si>
  <si>
    <t>Visual Continuity and Transparency</t>
  </si>
  <si>
    <t>Circulation zones maintain open sightlines and visual access to exits to reduce stress and disorientation.</t>
  </si>
  <si>
    <t>Sightline-Enhanced Lighting &amp; Exit Highlighting (Baseline Layer)</t>
  </si>
  <si>
    <t>Transparent Digital Overlays on Glass &amp; Open Surfaces</t>
  </si>
  <si>
    <t>Real-Time Visual Flow Mapping       (Dynamic Orientation Layer)</t>
  </si>
  <si>
    <t>AR-Based “See-Through Navigation” (Personal Layer)</t>
  </si>
  <si>
    <t>Predictive Cognitive Navigation System (AI Layer) (Advanced Stage)</t>
  </si>
  <si>
    <t>EC4.4.1</t>
  </si>
  <si>
    <t>Calm Visual Design</t>
  </si>
  <si>
    <t>Interfaces avoid high-contrast flashing colors, using balanced tones and consistent color palettes to reduce stress.</t>
  </si>
  <si>
    <t>Standardized Calm UI Design System (Foundation Layer)</t>
  </si>
  <si>
    <t>Low-Stimulation Interaction Modes (User-Control Layer)</t>
  </si>
  <si>
    <t>Consistent Visual Feedback &amp; Progress Indicators</t>
  </si>
  <si>
    <t>Context-Aware Interface Simplification (Adaptive Layer)</t>
  </si>
  <si>
    <t>AI-Driven Emotional UI Adaptation (Intelligent Layer)</t>
  </si>
  <si>
    <t>EC4.5.1</t>
  </si>
  <si>
    <t>Calm Acoustic Environment</t>
  </si>
  <si>
    <t>Sound levels ≤ 45 dB(A) and use of sound-absorbing materials reduce stress and improve communication clarity.</t>
  </si>
  <si>
    <t>Acoustic Design and Material Integration (Foundational Layer)</t>
  </si>
  <si>
    <t>Sound Zoning and Quiet Circulation Paths</t>
  </si>
  <si>
    <t>Smart Noise Monitoring and Feedback</t>
  </si>
  <si>
    <t>Adaptive Sound Masking Systems</t>
  </si>
  <si>
    <t>AI-Driven Acoustic Optimization (Intelligent Layer)</t>
  </si>
  <si>
    <r>
      <rPr>
        <b/>
        <sz val="14"/>
        <color theme="1"/>
        <rFont val="Calibri"/>
        <family val="2"/>
        <charset val="1"/>
      </rPr>
      <t>NEB</t>
    </r>
    <r>
      <rPr>
        <sz val="11"/>
        <color theme="1"/>
        <rFont val="Calibri"/>
        <family val="2"/>
        <charset val="1"/>
      </rPr>
      <t xml:space="preserve"> Self Assessment Scheme (New European Bauhaus (NEB) Self-Assessment Method)</t>
    </r>
  </si>
  <si>
    <t>AD 2 - Safety &amp; Enviromental Comfort</t>
  </si>
  <si>
    <t>Multisensory alarms are the most critical criterion because they ensure emergency alerts are accessible to both hearing- and visually-impaired users, directly affecting life safety and inclusive evacuation.</t>
  </si>
  <si>
    <t>Mental health conditions</t>
  </si>
  <si>
    <t>Anxiety, PTSD, depression; need calm, safe, biophilic spaces</t>
  </si>
  <si>
    <t>EC4.1.2</t>
  </si>
  <si>
    <t>Non-Verbal Wayfinding Aids</t>
  </si>
  <si>
    <t>Symbols, lighting cues, and visual beacons guide movement without text reliance.</t>
  </si>
  <si>
    <t>Dynamic LED Pathways (Visual Guidance Infrastructure)</t>
  </si>
  <si>
    <t>Symbol-Based Smart Signage System</t>
  </si>
  <si>
    <t>Bluetooth Beacon–Triggered Visual Cues</t>
  </si>
  <si>
    <t>Augmented Reality (AR) Visual Navigation Layer</t>
  </si>
  <si>
    <t>Adaptive Sensory Wayfinding System (AI-Orchestrated Layer)</t>
  </si>
  <si>
    <t>EC4.2.2</t>
  </si>
  <si>
    <t>Smart Support Interfaces</t>
  </si>
  <si>
    <t>Digital systems provide empathetic tone, calm colors, and clear progress feedback to reduce frustration during interactions.</t>
  </si>
  <si>
    <t>Calm-Design Digital Kiosks (Foundational Interface Layer)</t>
  </si>
  <si>
    <t>Guided Interaction Interfaces with Progress Feedback</t>
  </si>
  <si>
    <t>Multi-Modal Communication Interfaces (Non-Verbal First)</t>
  </si>
  <si>
    <t>Personalized User Interface Profiles (Adaptive UX Layer)</t>
  </si>
  <si>
    <t>AI-Powered Empathetic Interaction Layer (Advanced System)</t>
  </si>
  <si>
    <t>EC4.3.2</t>
  </si>
  <si>
    <t>Smart Emotional Navigation Aids</t>
  </si>
  <si>
    <t>Smart systems adapt navigation feedback (color, tone, brightness) to user-selected comfort preferences.</t>
  </si>
  <si>
    <t>Comfort Profile Onboarding (Preference Capture Layer)</t>
  </si>
  <si>
    <t>Emotion-Calibrated Wayfinding Cues (Adaptive Output Layer)</t>
  </si>
  <si>
    <t>Context-Aware Modulation (Environmental Intelligence)</t>
  </si>
  <si>
    <t>Personal Companion Interface (Guided Emotional Navigation)</t>
  </si>
  <si>
    <t>AI-Driven Emotional Adaptation Engine (Predictive Layer)</t>
  </si>
  <si>
    <t>EC4.4.2</t>
  </si>
  <si>
    <t>Inclusive Communication Tools</t>
  </si>
  <si>
    <t>Systems provide optional speech-to-text, text-to-speech, or chat-based interaction for users with speech limitations.</t>
  </si>
  <si>
    <t>Basic Text-to-Speech (TTS) and Speech-to-Text (STT) Support</t>
  </si>
  <si>
    <t>Icon- and Symbol-Based Chat Interfaces</t>
  </si>
  <si>
    <t>Multi-Modal Interaction Layer</t>
  </si>
  <si>
    <t>Personalized Communication Profiles</t>
  </si>
  <si>
    <t>AI-Enhanced Adaptive Communication System (Advanced Stage)</t>
  </si>
  <si>
    <t>EC4.5.2</t>
  </si>
  <si>
    <t>Positive Sensory Stimulation</t>
  </si>
  <si>
    <t>Art, light, and ambient sound are curated to encourage positive mood and reduce anxiety.</t>
  </si>
  <si>
    <t xml:space="preserve">Digitally Curated Sensory Content Displays (Foundation Layer) </t>
  </si>
  <si>
    <t>Integrated Ambient Soundscapes (Audio Layer)</t>
  </si>
  <si>
    <t>Interactive Sensory Installations (Engagement Layer)</t>
  </si>
  <si>
    <t>Personalized Sensory Profiles (Adaptive Layer)</t>
  </si>
  <si>
    <t>AI-Driven Multisensory Orchestration (Intelligent Layer)</t>
  </si>
  <si>
    <t>Clear and intelligible audible communication is essential for emergency response, especially in office buildings with high background noise and complex circulation spaces.</t>
  </si>
  <si>
    <t>Proper emergency lighting supports safe evacuation, route visibility, and reduced disorientation for users with low vision during power failures or emergencies.</t>
  </si>
  <si>
    <t>Continuous wayfinding support is fundamental for independent movement throughout the building during normal daily operation. It directly affects usability, orientation, and equal access to services and spaces.</t>
  </si>
  <si>
    <t xml:space="preserve">D.T. 5 - Multible / Situational </t>
  </si>
  <si>
    <t>Accessible emergency navigation is critical for safety and evacuation; however, it is activated mainly during emergency situations rather than throughout everyday building use.</t>
  </si>
  <si>
    <t>Multible disabilities</t>
  </si>
  <si>
    <t>Combined impairments (e.g., deafblind)</t>
  </si>
  <si>
    <t>EC5.1.1</t>
  </si>
  <si>
    <t>Real-Time Accessibility Notifications</t>
  </si>
  <si>
    <t>Building users receive digital alerts (app, display) when accessible paths are blocked.</t>
  </si>
  <si>
    <t>Sensor-Based Accessibility Monitoring (Foundation Layer)</t>
  </si>
  <si>
    <t>Digital Alert Interfaces (Notification Layer)</t>
  </si>
  <si>
    <t>Dynamic Digital Wayfinding (Adaptive Layer)</t>
  </si>
  <si>
    <t>AI-Enhanced Predictive Accessibility System</t>
  </si>
  <si>
    <t>EC5.2.1</t>
  </si>
  <si>
    <t>Dynamic Obstacle Monitoring</t>
  </si>
  <si>
    <t>Smart monitoring detects and alerts when circulation routes are obstructed, ensuring continuous accessibility.</t>
  </si>
  <si>
    <t xml:space="preserve">Sensor-Based Obstacle Detection (Foundation Layer) </t>
  </si>
  <si>
    <t>Digital Alert Systems (Notification Layer)</t>
  </si>
  <si>
    <t>Real-Time Adaptive Wayfinding</t>
  </si>
  <si>
    <t>Personalized Safety and Accessibility Profiles</t>
  </si>
  <si>
    <t>AI-Powered Predictive Obstacle Management</t>
  </si>
  <si>
    <t>EC5.3.1</t>
  </si>
  <si>
    <t>Accessible Temporary Layouts</t>
  </si>
  <si>
    <t>Pop-up installations, furniture, or event setups maintain legible circulation patterns and accessible signage.</t>
  </si>
  <si>
    <t>Temporary Layout Sensors and Mapping (Foundation Layer)</t>
  </si>
  <si>
    <t>Dynamic Signage and Notifications</t>
  </si>
  <si>
    <t>Adaptive Digital Wayfinding</t>
  </si>
  <si>
    <t>Personalized Route Preferences</t>
  </si>
  <si>
    <t>AI-Powered Predictive Layout Adaptation</t>
  </si>
  <si>
    <t>EC5.4.1</t>
  </si>
  <si>
    <t>Offline Function Continuity</t>
  </si>
  <si>
    <t>Core smart functions (access, lighting, security) remain operational in offline or low-connectivity conditions.</t>
  </si>
  <si>
    <t>Localized Device Intelligence (Foundation Layer)</t>
  </si>
  <si>
    <t>Redundant Local Data Storage</t>
  </si>
  <si>
    <t>Offline Multi-Modal Interfaces</t>
  </si>
  <si>
    <t>Adaptive Offline Wayfinding</t>
  </si>
  <si>
    <t>Predictive Offline Function Management</t>
  </si>
  <si>
    <t>EC5.5.1</t>
  </si>
  <si>
    <t>Environmental Adaptability</t>
  </si>
  <si>
    <t>Lighting, sound, and thermal settings in social zones can be user-controlled or automatically adjusted to situational needs.</t>
  </si>
  <si>
    <t>User-Controlled Environmental Interfaces</t>
  </si>
  <si>
    <t>Scheduled Environmental Profiles</t>
  </si>
  <si>
    <t>Real-Time Environmental Sensors</t>
  </si>
  <si>
    <t>Adaptive Automated Control</t>
  </si>
  <si>
    <t>Personalized Environmental Profiles and Predictive Adaptation</t>
  </si>
  <si>
    <t>Voice-enabled operation improves hands-free accessibility and usability for many users, particularly in smart office environments; however, it mainly supports operational convenience.</t>
  </si>
  <si>
    <t>Situational diasabilities</t>
  </si>
  <si>
    <t>Context-dependent barriers (e.g., carrying loads, poor light)</t>
  </si>
  <si>
    <t>EC5.1.2</t>
  </si>
  <si>
    <t>Dynamic Wayfinding Update</t>
  </si>
  <si>
    <t>Digital twin wayfinding updates automatically when temporary changes occur.</t>
  </si>
  <si>
    <t>Real-Time Environment Mapping (Foundation Layer)</t>
  </si>
  <si>
    <t>Multi-Modal Navigation Interfaces</t>
  </si>
  <si>
    <t>Dynamic Path Recalculation</t>
  </si>
  <si>
    <t>Personalized Wayfinding Profiles</t>
  </si>
  <si>
    <t>AI-Powered Predictive Navigation</t>
  </si>
  <si>
    <t>EC5.2.2</t>
  </si>
  <si>
    <t>Assistive Technology Integration</t>
  </si>
  <si>
    <t>All digital and mechanical systems (e.g., doors, kiosks, lifts) are interoperable with assistive and personal devices.</t>
  </si>
  <si>
    <t>Universal Device Connectivity (Foundation Layer)</t>
  </si>
  <si>
    <t>Smart Door and Access Control Integration</t>
  </si>
  <si>
    <t>Integrated Interactive Kiosks and Displays</t>
  </si>
  <si>
    <t>Personalized Environmental Controls</t>
  </si>
  <si>
    <t>AI-Driven Assistive Device Coordination</t>
  </si>
  <si>
    <t>EC5.3.2</t>
  </si>
  <si>
    <t>Smart Dynamic Wayfinding</t>
  </si>
  <si>
    <t>Real-time navigation updates through digital apps or screens adapt routes to temporary closures or hazards.</t>
  </si>
  <si>
    <t>Real-Time Environmental Mapping (Foundation Layer)</t>
  </si>
  <si>
    <t>Adaptive Path Recalculation</t>
  </si>
  <si>
    <t>Personalized User Navigation Profiles</t>
  </si>
  <si>
    <t>EC5.4.2</t>
  </si>
  <si>
    <t>Adaptive Font and Display Size</t>
  </si>
  <si>
    <t>Users can resize text, icons, and interface elements dynamically without losing layout consistency.</t>
  </si>
  <si>
    <t>Basic User-Controlled Scaling</t>
  </si>
  <si>
    <t>Context-Aware Display Adjustment</t>
  </si>
  <si>
    <t>Multi-Device Synchronization</t>
  </si>
  <si>
    <t>AI-Powered Adaptive Interfaces</t>
  </si>
  <si>
    <t>Multi-Modal Visual Enhancement</t>
  </si>
  <si>
    <t>EC5.5.2</t>
  </si>
  <si>
    <t>Dynamic Crowd Management</t>
  </si>
  <si>
    <t>Real-time occupancy and crowd flow are displayed visually to allow users to select low-density participation times.</t>
  </si>
  <si>
    <t>Real-Time Occupancy Monitoring (Foundation Layer)</t>
  </si>
  <si>
    <t>Visual Crowd Density Displays</t>
  </si>
  <si>
    <t>Mobile-Based Crowd Guidance</t>
  </si>
  <si>
    <t>Adaptive Crowd Flow Control Systems</t>
  </si>
  <si>
    <t>AI-Powered Predictive Crowd Management</t>
  </si>
  <si>
    <t>Captioning and visual alerts are essential for ensuring equal access to information, notifications, and emergency communication for users with hearing impairments. This has the highest direct impact on safety and inclusiveness.</t>
  </si>
  <si>
    <t>EC5.1.3</t>
  </si>
  <si>
    <t>Inclusive Information Delivery</t>
  </si>
  <si>
    <t>Physical and digital notices use icons, audio, and text synchronously.</t>
  </si>
  <si>
    <t>Multimodal Signage (Foundation Layer)</t>
  </si>
  <si>
    <t>Digital Information Displays</t>
  </si>
  <si>
    <t>Mobile Accessibility App</t>
  </si>
  <si>
    <t>Context-Aware Information Delivery</t>
  </si>
  <si>
    <t>AI-Driven Inclusive Communication System</t>
  </si>
  <si>
    <t>EC5.3.3</t>
  </si>
  <si>
    <t>Crowd Flow Visualization</t>
  </si>
  <si>
    <t>Smart displays or lighting signals indicate real-time density to guide users toward less congested routes.</t>
  </si>
  <si>
    <t>Real-Time Crowd Density Sensors (Foundation Layer)</t>
  </si>
  <si>
    <t>Visual Crowd Flow Displays</t>
  </si>
  <si>
    <t>Adaptive Lighting and Environmental Cues</t>
  </si>
  <si>
    <t>Mobile Crowd Alerts and Personalized Guidance</t>
  </si>
  <si>
    <t>EC5.4.3</t>
  </si>
  <si>
    <t>Emergency Digital Redundancy</t>
  </si>
  <si>
    <t>Backup power ensures continued operation of digital communication and alert systems during outages.</t>
  </si>
  <si>
    <t>Uninterruptible Power Supplies (Foundation Layer)</t>
  </si>
  <si>
    <t>Redundant Network Architecture</t>
  </si>
  <si>
    <t>Cloud-Based Emergency Synchronization</t>
  </si>
  <si>
    <t>Multi-Modal Emergency Alert Systems</t>
  </si>
  <si>
    <t>AI-Driven Predictive Emergency Management</t>
  </si>
  <si>
    <t>Integration with hearing aids, screen readers, and accessibility applications enhances personalized usability and supports independent interaction with building systems.</t>
  </si>
  <si>
    <t>Assistive hearing systems are essential for equal participation in meetings, presentations, and collaborative office activities, directly affecting communication accessibility and inclusion.</t>
  </si>
  <si>
    <t>Totals</t>
  </si>
  <si>
    <t>High visual contrast significantly improves spatial recognition, orientation, and safety for users with low vision, especially in everyday circulation and workspace interaction.</t>
  </si>
  <si>
    <r>
      <rPr>
        <sz val="14"/>
        <color theme="1"/>
        <rFont val="Calibri"/>
        <family val="2"/>
        <charset val="1"/>
      </rPr>
      <t>Σ</t>
    </r>
    <r>
      <rPr>
        <b/>
        <sz val="11"/>
        <color theme="1"/>
        <rFont val="Calibri"/>
        <family val="2"/>
        <charset val="1"/>
      </rPr>
      <t xml:space="preserve"> W(i)</t>
    </r>
  </si>
  <si>
    <r>
      <rPr>
        <sz val="14"/>
        <color theme="1"/>
        <rFont val="Calibri"/>
        <family val="2"/>
        <charset val="1"/>
      </rPr>
      <t>Σ</t>
    </r>
    <r>
      <rPr>
        <b/>
        <sz val="11"/>
        <color theme="1"/>
        <rFont val="Calibri"/>
        <family val="2"/>
        <charset val="1"/>
      </rPr>
      <t xml:space="preserve"> EC(ijk)</t>
    </r>
  </si>
  <si>
    <r>
      <rPr>
        <b/>
        <sz val="14"/>
        <color theme="1"/>
        <rFont val="Calibri"/>
        <family val="2"/>
        <charset val="1"/>
      </rPr>
      <t xml:space="preserve"> </t>
    </r>
    <r>
      <rPr>
        <b/>
        <sz val="11"/>
        <color theme="1"/>
        <rFont val="Calibri"/>
        <family val="2"/>
        <charset val="1"/>
      </rPr>
      <t>CIS(ij)=</t>
    </r>
    <r>
      <rPr>
        <b/>
        <sz val="14"/>
        <color theme="1"/>
        <rFont val="Calibri"/>
        <family val="2"/>
        <charset val="1"/>
      </rPr>
      <t xml:space="preserve"> </t>
    </r>
    <r>
      <rPr>
        <sz val="14"/>
        <color theme="1"/>
        <rFont val="Calibri"/>
        <family val="2"/>
        <charset val="1"/>
      </rPr>
      <t>Σ</t>
    </r>
    <r>
      <rPr>
        <sz val="11"/>
        <color theme="1"/>
        <rFont val="Calibri"/>
        <family val="2"/>
        <charset val="1"/>
      </rPr>
      <t xml:space="preserve">(W(i)*IS(ij)  </t>
    </r>
  </si>
  <si>
    <r>
      <rPr>
        <b/>
        <sz val="14"/>
        <color theme="1"/>
        <rFont val="Calibri"/>
        <family val="2"/>
        <charset val="1"/>
      </rPr>
      <t>Σ</t>
    </r>
    <r>
      <rPr>
        <b/>
        <sz val="11"/>
        <color theme="1"/>
        <rFont val="Calibri"/>
        <family val="2"/>
        <charset val="1"/>
      </rPr>
      <t xml:space="preserve"> EC(ijk)</t>
    </r>
  </si>
  <si>
    <r>
      <rPr>
        <sz val="14"/>
        <color theme="1"/>
        <rFont val="Calibri"/>
        <family val="2"/>
        <charset val="1"/>
      </rPr>
      <t>Σ</t>
    </r>
    <r>
      <rPr>
        <sz val="11"/>
        <color theme="1"/>
        <rFont val="Calibri"/>
        <family val="2"/>
        <charset val="1"/>
      </rPr>
      <t xml:space="preserve"> EC(ijk)</t>
    </r>
  </si>
  <si>
    <r>
      <rPr>
        <sz val="14"/>
        <color theme="1"/>
        <rFont val="Calibri"/>
        <family val="2"/>
        <charset val="1"/>
      </rPr>
      <t xml:space="preserve"> </t>
    </r>
    <r>
      <rPr>
        <sz val="11"/>
        <color theme="1"/>
        <rFont val="Calibri"/>
        <family val="2"/>
        <charset val="1"/>
      </rPr>
      <t>CIS(ij)=</t>
    </r>
    <r>
      <rPr>
        <sz val="14"/>
        <color theme="1"/>
        <rFont val="Calibri"/>
        <family val="2"/>
        <charset val="1"/>
      </rPr>
      <t xml:space="preserve"> Σ</t>
    </r>
    <r>
      <rPr>
        <sz val="11"/>
        <color theme="1"/>
        <rFont val="Calibri"/>
        <family val="2"/>
        <charset val="1"/>
      </rPr>
      <t xml:space="preserve">(W(i)*IS(ij)  </t>
    </r>
  </si>
  <si>
    <r>
      <rPr>
        <b/>
        <sz val="12"/>
        <color theme="1"/>
        <rFont val="Calibri"/>
        <family val="2"/>
        <charset val="1"/>
      </rPr>
      <t>TIS</t>
    </r>
    <r>
      <rPr>
        <b/>
        <sz val="10"/>
        <color theme="1"/>
        <rFont val="Calibri"/>
        <family val="2"/>
        <charset val="1"/>
      </rPr>
      <t xml:space="preserve"> (i) =              </t>
    </r>
    <r>
      <rPr>
        <sz val="10"/>
        <color theme="1"/>
        <rFont val="Calibri"/>
        <family val="2"/>
        <charset val="1"/>
      </rPr>
      <t xml:space="preserve">    </t>
    </r>
    <r>
      <rPr>
        <sz val="16"/>
        <color theme="1"/>
        <rFont val="Calibri"/>
        <family val="2"/>
        <charset val="1"/>
      </rPr>
      <t>Σ</t>
    </r>
    <r>
      <rPr>
        <sz val="14"/>
        <color theme="1"/>
        <rFont val="Calibri"/>
        <family val="2"/>
        <charset val="1"/>
      </rPr>
      <t xml:space="preserve"> </t>
    </r>
    <r>
      <rPr>
        <sz val="10"/>
        <color theme="1"/>
        <rFont val="Calibri"/>
        <family val="2"/>
        <charset val="1"/>
      </rPr>
      <t xml:space="preserve">IS(ij)       </t>
    </r>
  </si>
  <si>
    <r>
      <rPr>
        <b/>
        <sz val="10"/>
        <color theme="1"/>
        <rFont val="Calibri"/>
        <family val="2"/>
        <charset val="1"/>
      </rPr>
      <t xml:space="preserve">CIS (ij) =          </t>
    </r>
    <r>
      <rPr>
        <sz val="10"/>
        <color theme="1"/>
        <rFont val="Calibri"/>
        <family val="2"/>
        <charset val="1"/>
      </rPr>
      <t xml:space="preserve">  </t>
    </r>
    <r>
      <rPr>
        <sz val="16"/>
        <color theme="1"/>
        <rFont val="Calibri"/>
        <family val="2"/>
        <charset val="1"/>
      </rPr>
      <t xml:space="preserve">Σ </t>
    </r>
    <r>
      <rPr>
        <sz val="10"/>
        <color theme="1"/>
        <rFont val="Calibri"/>
        <family val="2"/>
        <charset val="1"/>
      </rPr>
      <t xml:space="preserve">(W(i)*IS(ij)  </t>
    </r>
  </si>
  <si>
    <t>OBS</t>
  </si>
  <si>
    <t>Adaptive smart systems enhance comfort and usability by dynamically adjusting environmental conditions; however, they mainly function as supportive optimization technologies.</t>
  </si>
  <si>
    <t xml:space="preserve">DT 3 - Cognitive &amp; Neurodiverse  </t>
  </si>
  <si>
    <t>Lighting quality has a continuous and direct impact on sensory comfort, stress reduction, concentration, and wellbeing for neurodiverse users. Poor lighting conditions can significantly affect usability and comfort throughout the workday.</t>
  </si>
  <si>
    <t>Simplified digital navigation tools improve orientation and reduce cognitive overload, particularly in large or complex office environments; however, they act mainly as supportive navigation aids.</t>
  </si>
  <si>
    <t>Gradual environmental transitions are highly important for minimizing confusion, anxiety, and sensory overload when moving between office zones and circulation areas.</t>
  </si>
  <si>
    <t>Stable acoustic and visual conditions directly affect concentration, emotional regulation, stress reduction, and daily workplace comfort, making this the most influential criterion during routine occupancy.</t>
  </si>
  <si>
    <t>Sensory-sensitive refuge areas are essential during emergencies, but their use is situational rather than continuous throughout everyday building operation.</t>
  </si>
  <si>
    <t>Clear and simplified maps directly reduce cognitive overload, improve orientation, and support independent navigation for neurodiverse users in complex office environments.</t>
  </si>
  <si>
    <t>Consistent spatial organization and repeated wayfinding logic across floors significantly improve predictability, memory retention, and intuitive navigation, making this the most influential criterion for continuous building usability.</t>
  </si>
  <si>
    <t>Stable visual interfaces are critical for preventing sensory overstimulation, distraction, fatigue, and discomfort. This criterion directly affects the daily usability of digital systems and smart interfaces.</t>
  </si>
  <si>
    <t>Personalized settings enhance comfort and usability by adapting systems to individual sensory and cognitive preferences, but they function mainly as supportive customization features.</t>
  </si>
  <si>
    <t>Quiet and low-sensory spaces provide direct support for stress reduction, emotional regulation, concentration, and social participation, making them highly important in office environments.</t>
  </si>
  <si>
    <t>Appropriate lighting and calming color schemes significantly reduce cognitive fatigue and sensory overload, while supporting comfort and focus throughout the workplace.</t>
  </si>
  <si>
    <t>DT 4 - Communication &amp; Mental Health</t>
  </si>
  <si>
    <t>Warm and calming lighting conditions help reduce stress, anxiety, and emotional discomfort, supporting a more comfortable and psychologically supportive workplace environment.</t>
  </si>
  <si>
    <t>Non-verbal navigation cues significantly improve independent orientation and reduce confusion for users who may experience communication difficulties, cognitive stress, or language-processing challenges.</t>
  </si>
  <si>
    <t>Lighting conditions continuously affect mood, stress levels, emotional comfort, and concentration throughout the working environment, making this the most influential criterion.</t>
  </si>
  <si>
    <t>Calm and supportive digital interaction systems significantly reduce frustration and cognitive stress during user interactions, especially in smart office environments.</t>
  </si>
  <si>
    <t>Open sightlines and visible exits directly reduce anxiety, confusion, and feelings of entrapment, making this the most important factor for intuitive and stress-free navigation.</t>
  </si>
  <si>
    <t>Personalized navigation feedback enhances comfort and usability by adapting environmental communication to individual emotional preferences, but it functions mainly as a supportive smart feature.</t>
  </si>
  <si>
    <t>Calm and visually stable interfaces reduce anxiety, sensory stress, and cognitive fatigue during repeated interaction with smart building systems.</t>
  </si>
  <si>
    <t>Speech-to-text, text-to-speech, and chat-based interaction tools directly support communication accessibility and independent use of services for users with speech or communication limitations.</t>
  </si>
  <si>
    <t>Controlled acoustic conditions are fundamental for reducing stress, improving concentration, and supporting clear communication in office environments. Excessive noise is one of the strongest environmental stressors affecting mental wellbeing.</t>
  </si>
  <si>
    <t>Carefully curated sensory elements improve mood, emotional comfort, and overall user experience, but they function mainly as supportive enhancements to the environment.</t>
  </si>
  <si>
    <t xml:space="preserve">DT 5 - Multible / Situational  </t>
  </si>
  <si>
    <t>Immediate notification of blocked or inaccessible routes is essential for maintaining safe and uninterrupted movement within dynamic office environments.</t>
  </si>
  <si>
    <t>Automatically updated wayfinding systems provide the strongest support for adaptive navigation when temporary spatial changes occur, making this the most influential criterion.</t>
  </si>
  <si>
    <t>Multiformat information delivery improves accessibility for diverse users, but it primarily supports communication effectiveness rather than direct spatial adaptation.</t>
  </si>
  <si>
    <t>Overal Building Score</t>
  </si>
  <si>
    <t>Continuous monitoring of circulation routes is critical for maintaining safe and uninterrupted accessibility in dynamic office environments where temporary obstructions frequently occur.</t>
  </si>
  <si>
    <t>Certification</t>
  </si>
  <si>
    <t>Interoperability with assistive devices significantly improves usability and independence, ensuring users can interact effectively with smart building systems and services.</t>
  </si>
  <si>
    <t>EC - Evaluation Criteria (63)</t>
  </si>
  <si>
    <t>Maintaining accessible circulation and understandable layouts during temporary changes is essential for preserving baseline accessibility and reducing confusion.</t>
  </si>
  <si>
    <t>Real-time adaptive navigation provides the strongest support for safe and efficient movement when routes change due to temporary closures, hazards, or operational adjustments.</t>
  </si>
  <si>
    <t>Real-time crowd-density guidance improves comfort, safety, and route selection, especially for users affected by stress, mobility limitations, or situational impairments.</t>
  </si>
  <si>
    <t>Maintaining core building functions during connectivity failures is essential for continuous accessibility, safety, and independent building use.</t>
  </si>
  <si>
    <t>Adjustable interface elements improve usability for diverse temporary or situational accessibility needs, but they mainly support interface personalization rather than operational continuity.</t>
  </si>
  <si>
    <t>Backup operation of communication and alert systems during emergencies is critical for life safety, emergency coordination, and uninterrupted access to essential building information.</t>
  </si>
  <si>
    <t>User-adjustable environmental conditions directly influence comfort, stress reduction, usability, and inclusive participation in social and collaborative office spaces.</t>
  </si>
  <si>
    <t>Real-time crowd information helps users avoid congestion, reduce stress, and select more comfortable participation conditions, especially for situational or temporary accessibility needs.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</si>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</sst>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charset val="1"/>
    </font>
    <font>
      <sz val="36"/>
      <color theme="1"/>
      <name val="Calibri"/>
      <family val="2"/>
      <charset val="1"/>
    </font>
    <font>
      <b/>
      <sz val="26"/>
      <color rgb="FFFF0000"/>
      <name val="Calibri"/>
      <family val="2"/>
      <charset val="1"/>
    </font>
    <font>
      <b/>
      <sz val="24"/>
      <color rgb="FF00B0F0"/>
      <name val="Calibri"/>
      <family val="2"/>
      <charset val="1"/>
    </font>
    <font>
      <b/>
      <sz val="20"/>
      <color rgb="FF00B0F0"/>
      <name val="Calibri"/>
      <family val="2"/>
      <charset val="1"/>
    </font>
    <font>
      <b/>
      <sz val="26"/>
      <color rgb="FF00B0F0"/>
      <name val="Calibri"/>
      <family val="2"/>
      <charset val="1"/>
    </font>
    <font>
      <sz val="26"/>
      <color rgb="FFFF0000"/>
      <name val="Calibri"/>
      <family val="2"/>
      <charset val="1"/>
    </font>
    <font>
      <sz val="20"/>
      <color theme="1"/>
      <name val="Calibri"/>
      <family val="2"/>
      <charset val="1"/>
    </font>
    <font>
      <sz val="14"/>
      <color rgb="FFFF0000"/>
      <name val="Calibri"/>
      <family val="2"/>
      <charset val="1"/>
    </font>
    <font>
      <sz val="22"/>
      <color theme="1"/>
      <name val="Arial"/>
      <family val="2"/>
      <charset val="1"/>
    </font>
    <font>
      <sz val="12"/>
      <color rgb="FFFF0000"/>
      <name val="Calibri"/>
      <family val="2"/>
      <charset val="1"/>
    </font>
    <font>
      <b/>
      <sz val="16"/>
      <color rgb="FFFF0000"/>
      <name val="Calibri"/>
      <family val="2"/>
      <charset val="1"/>
    </font>
    <font>
      <b/>
      <sz val="22"/>
      <color theme="1"/>
      <name val="Calibri"/>
      <family val="2"/>
      <charset val="1"/>
    </font>
    <font>
      <b/>
      <sz val="20"/>
      <color rgb="FFFF0000"/>
      <name val="Calibri"/>
      <family val="2"/>
      <charset val="1"/>
    </font>
    <font>
      <b/>
      <sz val="18"/>
      <color rgb="FFFF0000"/>
      <name val="Calibri"/>
      <family val="2"/>
      <charset val="1"/>
    </font>
    <font>
      <b/>
      <sz val="14"/>
      <color theme="1"/>
      <name val="Calibri"/>
      <family val="2"/>
      <charset val="1"/>
    </font>
    <font>
      <b/>
      <sz val="11"/>
      <color theme="1"/>
      <name val="Calibri"/>
      <family val="2"/>
      <charset val="1"/>
    </font>
    <font>
      <b/>
      <sz val="16"/>
      <color theme="1"/>
      <name val="Calibri"/>
      <family val="2"/>
      <charset val="1"/>
    </font>
    <font>
      <b/>
      <sz val="12"/>
      <color theme="1"/>
      <name val="Calibri"/>
      <family val="2"/>
      <charset val="1"/>
    </font>
    <font>
      <b/>
      <sz val="10"/>
      <color theme="1"/>
      <name val="Calibri"/>
      <family val="2"/>
      <charset val="1"/>
    </font>
    <font>
      <sz val="10"/>
      <color theme="1"/>
      <name val="Calibri"/>
      <family val="2"/>
      <charset val="1"/>
    </font>
    <font>
      <sz val="16"/>
      <color theme="1"/>
      <name val="Calibri"/>
      <family val="2"/>
      <charset val="1"/>
    </font>
    <font>
      <sz val="14"/>
      <color theme="1"/>
      <name val="Calibri"/>
      <family val="2"/>
      <charset val="1"/>
    </font>
    <font>
      <b/>
      <sz val="14"/>
      <color rgb="FFFF0000"/>
      <name val="Calibri"/>
      <family val="2"/>
      <charset val="1"/>
    </font>
    <font>
      <sz val="18"/>
      <color theme="1"/>
      <name val="Calibri"/>
      <family val="2"/>
      <charset val="1"/>
    </font>
    <font>
      <b/>
      <sz val="20"/>
      <color theme="1"/>
      <name val="Calibri"/>
      <family val="2"/>
      <charset val="1"/>
    </font>
    <font>
      <sz val="12"/>
      <color theme="1"/>
      <name val="Calibri"/>
      <family val="2"/>
      <charset val="1"/>
    </font>
    <font>
      <sz val="11"/>
      <color rgb="FF000000"/>
      <name val="Calibri"/>
      <family val="2"/>
      <charset val="1"/>
    </font>
    <font>
      <sz val="10"/>
      <color rgb="FF000000"/>
      <name val="Calibri"/>
      <family val="2"/>
      <charset val="1"/>
    </font>
    <font>
      <b/>
      <sz val="10"/>
      <color rgb="FF00B0F0"/>
      <name val="Calibri"/>
      <family val="2"/>
      <charset val="1"/>
    </font>
    <font>
      <b/>
      <sz val="16"/>
      <color rgb="FF00B0F0"/>
      <name val="Calibri"/>
      <family val="2"/>
      <charset val="1"/>
    </font>
    <font>
      <b/>
      <sz val="11"/>
      <color rgb="FFFF0000"/>
      <name val="Calibri"/>
      <family val="2"/>
      <charset val="1"/>
    </font>
    <font>
      <b/>
      <sz val="14"/>
      <color rgb="FF00B0F0"/>
      <name val="Calibri"/>
      <family val="2"/>
      <charset val="1"/>
    </font>
    <font>
      <sz val="10"/>
      <color rgb="FF00B0F0"/>
      <name val="Calibri"/>
      <family val="2"/>
      <charset val="1"/>
    </font>
    <font>
      <b/>
      <sz val="18"/>
      <color theme="1"/>
      <name val="Calibri"/>
      <family val="2"/>
      <charset val="1"/>
    </font>
    <font>
      <b/>
      <sz val="26"/>
      <color theme="1"/>
      <name val="Calibri"/>
      <family val="2"/>
      <charset val="1"/>
    </font>
    <font>
      <b/>
      <sz val="24"/>
      <color theme="1"/>
      <name val="Calibri"/>
      <family val="2"/>
      <charset val="1"/>
    </font>
    <font>
      <sz val="22"/>
      <color theme="1"/>
      <name val="Calibri"/>
      <family val="2"/>
      <charset val="1"/>
    </font>
  </fonts>
  <fills count="12">
    <fill>
      <patternFill patternType="none"/>
    </fill>
    <fill>
      <patternFill patternType="gray125"/>
    </fill>
    <fill>
      <patternFill patternType="solid">
        <fgColor theme="7" tint="0.79989013336588644"/>
        <bgColor rgb="FFFBE5D6"/>
      </patternFill>
    </fill>
    <fill>
      <patternFill patternType="solid">
        <fgColor theme="4" tint="0.79989013336588644"/>
        <bgColor rgb="FFDEEBF7"/>
      </patternFill>
    </fill>
    <fill>
      <patternFill patternType="solid">
        <fgColor theme="9" tint="0.79989013336588644"/>
        <bgColor rgb="FFDEEBF7"/>
      </patternFill>
    </fill>
    <fill>
      <patternFill patternType="solid">
        <fgColor theme="0" tint="-4.9989318521683403E-2"/>
        <bgColor rgb="FFE2F0D9"/>
      </patternFill>
    </fill>
    <fill>
      <patternFill patternType="solid">
        <fgColor theme="8" tint="0.79989013336588644"/>
        <bgColor rgb="FFDAE3F3"/>
      </patternFill>
    </fill>
    <fill>
      <patternFill patternType="solid">
        <fgColor theme="5" tint="0.79989013336588644"/>
        <bgColor rgb="FFFFF2CC"/>
      </patternFill>
    </fill>
    <fill>
      <patternFill patternType="solid">
        <fgColor rgb="FFFF0000"/>
        <bgColor rgb="FF993300"/>
      </patternFill>
    </fill>
    <fill>
      <patternFill patternType="solid">
        <fgColor theme="7" tint="0.39988402966399123"/>
        <bgColor rgb="FFFFCC00"/>
      </patternFill>
    </fill>
    <fill>
      <patternFill patternType="solid">
        <fgColor theme="9" tint="0.59987182226020086"/>
        <bgColor rgb="FFE2F0D9"/>
      </patternFill>
    </fill>
    <fill>
      <patternFill patternType="solid">
        <fgColor theme="9" tint="-0.249977111117893"/>
        <bgColor rgb="FF339966"/>
      </patternFill>
    </fill>
  </fills>
  <borders count="78">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double">
        <color auto="1"/>
      </bottom>
      <diagonal/>
    </border>
    <border>
      <left/>
      <right/>
      <top style="medium">
        <color auto="1"/>
      </top>
      <bottom style="double">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medium">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medium">
        <color auto="1"/>
      </right>
      <top style="thin">
        <color auto="1"/>
      </top>
      <bottom style="double">
        <color auto="1"/>
      </bottom>
      <diagonal/>
    </border>
    <border>
      <left style="medium">
        <color auto="1"/>
      </left>
      <right style="thin">
        <color auto="1"/>
      </right>
      <top/>
      <bottom style="thin">
        <color auto="1"/>
      </bottom>
      <diagonal/>
    </border>
    <border>
      <left/>
      <right style="medium">
        <color auto="1"/>
      </right>
      <top/>
      <bottom style="thin">
        <color auto="1"/>
      </bottom>
      <diagonal/>
    </border>
    <border>
      <left style="medium">
        <color auto="1"/>
      </left>
      <right style="medium">
        <color auto="1"/>
      </right>
      <top style="double">
        <color auto="1"/>
      </top>
      <bottom style="double">
        <color auto="1"/>
      </bottom>
      <diagonal/>
    </border>
    <border>
      <left/>
      <right style="medium">
        <color auto="1"/>
      </right>
      <top style="double">
        <color auto="1"/>
      </top>
      <bottom style="medium">
        <color auto="1"/>
      </bottom>
      <diagonal/>
    </border>
    <border>
      <left/>
      <right style="thin">
        <color auto="1"/>
      </right>
      <top/>
      <bottom style="thin">
        <color auto="1"/>
      </bottom>
      <diagonal/>
    </border>
    <border>
      <left style="thin">
        <color auto="1"/>
      </left>
      <right/>
      <top/>
      <bottom style="thin">
        <color auto="1"/>
      </bottom>
      <diagonal/>
    </border>
    <border>
      <left style="medium">
        <color auto="1"/>
      </left>
      <right style="medium">
        <color auto="1"/>
      </right>
      <top/>
      <bottom style="thin">
        <color auto="1"/>
      </bottom>
      <diagonal/>
    </border>
    <border>
      <left/>
      <right style="thin">
        <color auto="1"/>
      </right>
      <top style="thin">
        <color auto="1"/>
      </top>
      <bottom style="double">
        <color auto="1"/>
      </bottom>
      <diagonal/>
    </border>
    <border>
      <left style="medium">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double">
        <color auto="1"/>
      </top>
      <bottom style="medium">
        <color auto="1"/>
      </bottom>
      <diagonal/>
    </border>
    <border>
      <left style="thin">
        <color auto="1"/>
      </left>
      <right style="thin">
        <color auto="1"/>
      </right>
      <top style="double">
        <color auto="1"/>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thin">
        <color auto="1"/>
      </right>
      <top style="double">
        <color auto="1"/>
      </top>
      <bottom/>
      <diagonal/>
    </border>
    <border>
      <left style="thin">
        <color auto="1"/>
      </left>
      <right/>
      <top style="thin">
        <color auto="1"/>
      </top>
      <bottom style="medium">
        <color auto="1"/>
      </bottom>
      <diagonal/>
    </border>
    <border>
      <left style="medium">
        <color auto="1"/>
      </left>
      <right/>
      <top/>
      <bottom style="medium">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double">
        <color auto="1"/>
      </top>
      <bottom style="medium">
        <color auto="1"/>
      </bottom>
      <diagonal/>
    </border>
    <border>
      <left style="medium">
        <color auto="1"/>
      </left>
      <right style="thin">
        <color auto="1"/>
      </right>
      <top style="thin">
        <color auto="1"/>
      </top>
      <bottom style="medium">
        <color auto="1"/>
      </bottom>
      <diagonal/>
    </border>
    <border>
      <left/>
      <right style="thin">
        <color auto="1"/>
      </right>
      <top/>
      <bottom style="medium">
        <color auto="1"/>
      </bottom>
      <diagonal/>
    </border>
    <border>
      <left/>
      <right/>
      <top style="medium">
        <color auto="1"/>
      </top>
      <bottom style="thin">
        <color auto="1"/>
      </bottom>
      <diagonal/>
    </border>
    <border>
      <left style="medium">
        <color auto="1"/>
      </left>
      <right style="medium">
        <color auto="1"/>
      </right>
      <top style="medium">
        <color auto="1"/>
      </top>
      <bottom style="thin">
        <color auto="1"/>
      </bottom>
      <diagonal/>
    </border>
    <border>
      <left/>
      <right/>
      <top style="thin">
        <color auto="1"/>
      </top>
      <bottom style="thin">
        <color auto="1"/>
      </bottom>
      <diagonal/>
    </border>
    <border>
      <left style="medium">
        <color auto="1"/>
      </left>
      <right style="thin">
        <color auto="1"/>
      </right>
      <top/>
      <bottom/>
      <diagonal/>
    </border>
    <border>
      <left style="medium">
        <color auto="1"/>
      </left>
      <right/>
      <top style="double">
        <color auto="1"/>
      </top>
      <bottom style="medium">
        <color auto="1"/>
      </bottom>
      <diagonal/>
    </border>
    <border>
      <left style="thin">
        <color auto="1"/>
      </left>
      <right style="medium">
        <color auto="1"/>
      </right>
      <top style="double">
        <color auto="1"/>
      </top>
      <bottom style="medium">
        <color auto="1"/>
      </bottom>
      <diagonal/>
    </border>
    <border>
      <left/>
      <right style="medium">
        <color auto="1"/>
      </right>
      <top style="medium">
        <color auto="1"/>
      </top>
      <bottom style="double">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top/>
      <bottom style="thin">
        <color auto="1"/>
      </bottom>
      <diagonal/>
    </border>
    <border>
      <left style="thin">
        <color auto="1"/>
      </left>
      <right/>
      <top style="thin">
        <color auto="1"/>
      </top>
      <bottom style="double">
        <color auto="1"/>
      </bottom>
      <diagonal/>
    </border>
    <border>
      <left style="medium">
        <color auto="1"/>
      </left>
      <right style="medium">
        <color auto="1"/>
      </right>
      <top style="thin">
        <color auto="1"/>
      </top>
      <bottom style="double">
        <color auto="1"/>
      </bottom>
      <diagonal/>
    </border>
    <border>
      <left/>
      <right/>
      <top/>
      <bottom style="thin">
        <color auto="1"/>
      </bottom>
      <diagonal/>
    </border>
    <border>
      <left style="medium">
        <color auto="1"/>
      </left>
      <right style="medium">
        <color auto="1"/>
      </right>
      <top/>
      <bottom style="medium">
        <color auto="1"/>
      </bottom>
      <diagonal/>
    </border>
    <border>
      <left style="medium">
        <color auto="1"/>
      </left>
      <right/>
      <top/>
      <bottom/>
      <diagonal/>
    </border>
    <border>
      <left style="medium">
        <color auto="1"/>
      </left>
      <right/>
      <top/>
      <bottom style="double">
        <color auto="1"/>
      </bottom>
      <diagonal/>
    </border>
    <border>
      <left style="medium">
        <color auto="1"/>
      </left>
      <right style="medium">
        <color auto="1"/>
      </right>
      <top style="double">
        <color auto="1"/>
      </top>
      <bottom style="medium">
        <color auto="1"/>
      </bottom>
      <diagonal/>
    </border>
    <border>
      <left style="thin">
        <color auto="1"/>
      </left>
      <right/>
      <top/>
      <bottom style="medium">
        <color auto="1"/>
      </bottom>
      <diagonal/>
    </border>
  </borders>
  <cellStyleXfs count="1">
    <xf numFmtId="0" fontId="0" fillId="0" borderId="0"/>
  </cellStyleXfs>
  <cellXfs count="369">
    <xf numFmtId="0" fontId="0" fillId="0" borderId="0" xfId="0"/>
    <xf numFmtId="9" fontId="12" fillId="5" borderId="11" xfId="0" applyNumberFormat="1" applyFont="1" applyFill="1" applyBorder="1" applyAlignment="1">
      <alignment horizontal="center" vertical="center"/>
    </xf>
    <xf numFmtId="0" fontId="17" fillId="2" borderId="11" xfId="0" applyFont="1" applyFill="1" applyBorder="1" applyAlignment="1">
      <alignment horizontal="center" vertical="center"/>
    </xf>
    <xf numFmtId="0" fontId="16" fillId="4" borderId="10" xfId="0" applyFont="1" applyFill="1" applyBorder="1" applyAlignment="1">
      <alignment horizontal="center" wrapText="1"/>
    </xf>
    <xf numFmtId="0" fontId="16" fillId="4" borderId="9" xfId="0" applyFont="1" applyFill="1" applyBorder="1" applyAlignment="1">
      <alignment horizontal="center" vertical="center"/>
    </xf>
    <xf numFmtId="0" fontId="16" fillId="4" borderId="8"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5" xfId="0" applyFont="1" applyFill="1" applyBorder="1" applyAlignment="1">
      <alignment horizontal="center" vertical="center"/>
    </xf>
    <xf numFmtId="0" fontId="13" fillId="3" borderId="1" xfId="0" applyFont="1" applyFill="1" applyBorder="1" applyAlignment="1">
      <alignment horizontal="center" vertical="center"/>
    </xf>
    <xf numFmtId="0" fontId="10" fillId="0" borderId="0" xfId="0" applyFont="1" applyAlignment="1">
      <alignment horizontal="left"/>
    </xf>
    <xf numFmtId="0" fontId="9" fillId="0" borderId="0" xfId="0" applyFont="1" applyAlignment="1">
      <alignment horizontal="left"/>
    </xf>
    <xf numFmtId="0" fontId="7" fillId="0" borderId="0" xfId="0" applyFont="1" applyAlignment="1">
      <alignment horizontal="left"/>
    </xf>
    <xf numFmtId="0" fontId="6" fillId="2" borderId="1" xfId="0" applyFont="1" applyFill="1" applyBorder="1" applyAlignment="1">
      <alignment horizontal="left" vertical="center"/>
    </xf>
    <xf numFmtId="0" fontId="2" fillId="2" borderId="1" xfId="0" applyFont="1" applyFill="1" applyBorder="1" applyAlignment="1">
      <alignment horizontal="center" vertical="center"/>
    </xf>
    <xf numFmtId="0" fontId="1" fillId="0" borderId="0" xfId="0" applyFont="1" applyAlignment="1">
      <alignment vertical="center"/>
    </xf>
    <xf numFmtId="0" fontId="11" fillId="0" borderId="0" xfId="0" applyFont="1"/>
    <xf numFmtId="0" fontId="12" fillId="0" borderId="0" xfId="0" applyFont="1"/>
    <xf numFmtId="0" fontId="14" fillId="0" borderId="0" xfId="0" applyFont="1"/>
    <xf numFmtId="0" fontId="15" fillId="4" borderId="2" xfId="0" applyFont="1" applyFill="1" applyBorder="1" applyAlignment="1">
      <alignment horizontal="center" vertical="center"/>
    </xf>
    <xf numFmtId="0" fontId="15" fillId="4" borderId="3" xfId="0" applyFont="1" applyFill="1" applyBorder="1" applyAlignment="1">
      <alignment horizontal="center" vertical="center"/>
    </xf>
    <xf numFmtId="0" fontId="15" fillId="4" borderId="4" xfId="0" applyFont="1" applyFill="1" applyBorder="1" applyAlignment="1">
      <alignment horizontal="center" wrapText="1"/>
    </xf>
    <xf numFmtId="0" fontId="18" fillId="3" borderId="12" xfId="0" applyFont="1" applyFill="1" applyBorder="1" applyAlignment="1">
      <alignment horizontal="center" wrapText="1"/>
    </xf>
    <xf numFmtId="0" fontId="18" fillId="3" borderId="13" xfId="0" applyFont="1" applyFill="1" applyBorder="1" applyAlignment="1">
      <alignment horizontal="center" wrapText="1"/>
    </xf>
    <xf numFmtId="0" fontId="16" fillId="5" borderId="14" xfId="0" applyFont="1" applyFill="1" applyBorder="1" applyAlignment="1">
      <alignment horizontal="center" wrapText="1"/>
    </xf>
    <xf numFmtId="0" fontId="15" fillId="2" borderId="15"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3" xfId="0" applyFont="1" applyFill="1" applyBorder="1" applyAlignment="1">
      <alignment horizontal="left" vertical="center"/>
    </xf>
    <xf numFmtId="9" fontId="23" fillId="0" borderId="17" xfId="0" applyNumberFormat="1" applyFont="1" applyBorder="1" applyAlignment="1">
      <alignment horizontal="center" vertical="center"/>
    </xf>
    <xf numFmtId="9" fontId="23" fillId="0" borderId="18" xfId="0" applyNumberFormat="1" applyFont="1" applyBorder="1" applyAlignment="1">
      <alignment horizontal="center" vertical="center"/>
    </xf>
    <xf numFmtId="0" fontId="16" fillId="2" borderId="13" xfId="0" applyFont="1" applyFill="1" applyBorder="1" applyAlignment="1">
      <alignment horizontal="right" vertical="center"/>
    </xf>
    <xf numFmtId="9" fontId="23" fillId="2" borderId="14" xfId="0" applyNumberFormat="1" applyFont="1" applyFill="1" applyBorder="1" applyAlignment="1">
      <alignment horizontal="center" vertical="center"/>
    </xf>
    <xf numFmtId="9" fontId="23" fillId="2" borderId="20" xfId="0" applyNumberFormat="1" applyFont="1" applyFill="1" applyBorder="1" applyAlignment="1">
      <alignment horizontal="center" vertical="center"/>
    </xf>
    <xf numFmtId="9" fontId="24" fillId="2" borderId="15" xfId="0" applyNumberFormat="1" applyFont="1" applyFill="1" applyBorder="1" applyAlignment="1">
      <alignment horizontal="center" vertical="center"/>
    </xf>
    <xf numFmtId="0" fontId="15" fillId="6" borderId="15" xfId="0" applyFont="1" applyFill="1" applyBorder="1" applyAlignment="1">
      <alignment horizontal="center" vertical="center"/>
    </xf>
    <xf numFmtId="0" fontId="15" fillId="6" borderId="1" xfId="0" applyFont="1" applyFill="1" applyBorder="1" applyAlignment="1">
      <alignment horizontal="left" vertical="center"/>
    </xf>
    <xf numFmtId="1" fontId="26" fillId="0" borderId="24" xfId="0" applyNumberFormat="1" applyFont="1" applyBorder="1" applyAlignment="1">
      <alignment horizontal="center" vertical="center"/>
    </xf>
    <xf numFmtId="0" fontId="15" fillId="0" borderId="28" xfId="0" applyFont="1" applyBorder="1" applyAlignment="1">
      <alignment horizontal="center" vertical="center"/>
    </xf>
    <xf numFmtId="0" fontId="0" fillId="0" borderId="17" xfId="0" applyBorder="1" applyAlignment="1">
      <alignment horizontal="left" vertical="center"/>
    </xf>
    <xf numFmtId="0" fontId="0" fillId="0" borderId="29" xfId="0" applyBorder="1" applyAlignment="1">
      <alignment vertical="top" wrapText="1"/>
    </xf>
    <xf numFmtId="9" fontId="23" fillId="2" borderId="18" xfId="0" applyNumberFormat="1" applyFont="1" applyFill="1" applyBorder="1" applyAlignment="1">
      <alignment horizontal="center" vertical="center"/>
    </xf>
    <xf numFmtId="0" fontId="0" fillId="0" borderId="30" xfId="0" applyBorder="1" applyAlignment="1">
      <alignment wrapText="1"/>
    </xf>
    <xf numFmtId="0" fontId="19" fillId="4" borderId="14" xfId="0" applyFont="1" applyFill="1" applyBorder="1" applyAlignment="1">
      <alignment horizontal="center" wrapText="1"/>
    </xf>
    <xf numFmtId="0" fontId="0" fillId="0" borderId="0" xfId="0" applyAlignment="1">
      <alignment horizontal="center" wrapText="1"/>
    </xf>
    <xf numFmtId="1" fontId="26" fillId="0" borderId="32" xfId="0" applyNumberFormat="1" applyFont="1" applyBorder="1" applyAlignment="1">
      <alignment horizontal="center" vertical="center"/>
    </xf>
    <xf numFmtId="0" fontId="15" fillId="0" borderId="33" xfId="0" applyFont="1" applyBorder="1" applyAlignment="1">
      <alignment horizontal="center" vertical="center"/>
    </xf>
    <xf numFmtId="0" fontId="27" fillId="0" borderId="34" xfId="0" applyFont="1" applyBorder="1" applyAlignment="1">
      <alignment horizontal="left" vertical="top" wrapText="1"/>
    </xf>
    <xf numFmtId="0" fontId="0" fillId="0" borderId="35" xfId="0" applyBorder="1" applyAlignment="1">
      <alignment vertical="top" wrapText="1"/>
    </xf>
    <xf numFmtId="9" fontId="23" fillId="2" borderId="36" xfId="0" applyNumberFormat="1" applyFont="1" applyFill="1" applyBorder="1" applyAlignment="1">
      <alignment horizontal="center" vertical="center"/>
    </xf>
    <xf numFmtId="0" fontId="0" fillId="0" borderId="37" xfId="0" applyBorder="1" applyAlignment="1">
      <alignment wrapText="1"/>
    </xf>
    <xf numFmtId="9" fontId="23" fillId="4" borderId="23" xfId="0" applyNumberFormat="1" applyFont="1" applyFill="1" applyBorder="1" applyAlignment="1">
      <alignment horizontal="center" vertical="center"/>
    </xf>
    <xf numFmtId="0" fontId="19" fillId="7" borderId="31" xfId="0" applyFont="1" applyFill="1" applyBorder="1" applyAlignment="1">
      <alignment horizontal="center" vertical="center"/>
    </xf>
    <xf numFmtId="0" fontId="20" fillId="7" borderId="22" xfId="0" applyFont="1" applyFill="1" applyBorder="1" applyAlignment="1">
      <alignment horizontal="center" wrapText="1"/>
    </xf>
    <xf numFmtId="0" fontId="22" fillId="7" borderId="22" xfId="0" applyFont="1" applyFill="1" applyBorder="1" applyAlignment="1">
      <alignment horizontal="center" vertical="center"/>
    </xf>
    <xf numFmtId="0" fontId="16" fillId="7" borderId="22" xfId="0" applyFont="1" applyFill="1" applyBorder="1" applyAlignment="1">
      <alignment horizontal="center" vertical="center"/>
    </xf>
    <xf numFmtId="1" fontId="26" fillId="0" borderId="12" xfId="0" applyNumberFormat="1" applyFont="1" applyBorder="1" applyAlignment="1">
      <alignment horizontal="center" vertical="center"/>
    </xf>
    <xf numFmtId="0" fontId="15" fillId="0" borderId="16" xfId="0" applyFont="1" applyBorder="1" applyAlignment="1">
      <alignment horizontal="center" vertical="center"/>
    </xf>
    <xf numFmtId="0" fontId="0" fillId="0" borderId="13" xfId="0" applyBorder="1" applyAlignment="1">
      <alignment horizontal="left" vertical="center" wrapText="1"/>
    </xf>
    <xf numFmtId="0" fontId="0" fillId="0" borderId="20" xfId="0" applyBorder="1" applyAlignment="1">
      <alignment horizontal="left" vertical="top" wrapText="1"/>
    </xf>
    <xf numFmtId="0" fontId="0" fillId="3" borderId="28" xfId="0" applyFill="1" applyBorder="1" applyAlignment="1">
      <alignment horizontal="center" vertical="center"/>
    </xf>
    <xf numFmtId="0" fontId="28" fillId="3" borderId="17" xfId="0" applyFont="1" applyFill="1" applyBorder="1" applyAlignment="1">
      <alignment vertical="center" wrapText="1"/>
    </xf>
    <xf numFmtId="9" fontId="23" fillId="3" borderId="17" xfId="0" applyNumberFormat="1" applyFont="1" applyFill="1" applyBorder="1" applyAlignment="1">
      <alignment horizontal="center" vertical="center"/>
    </xf>
    <xf numFmtId="0" fontId="20" fillId="0" borderId="16" xfId="0" applyFont="1" applyBorder="1" applyAlignment="1">
      <alignment wrapText="1"/>
    </xf>
    <xf numFmtId="0" fontId="20" fillId="0" borderId="13" xfId="0" applyFont="1" applyBorder="1" applyAlignment="1">
      <alignment wrapText="1"/>
    </xf>
    <xf numFmtId="0" fontId="29" fillId="0" borderId="13" xfId="0" applyFont="1" applyBorder="1" applyAlignment="1">
      <alignment wrapText="1"/>
    </xf>
    <xf numFmtId="0" fontId="20" fillId="0" borderId="40" xfId="0" applyFont="1" applyBorder="1" applyAlignment="1">
      <alignment wrapText="1"/>
    </xf>
    <xf numFmtId="1" fontId="30" fillId="0" borderId="28" xfId="0" applyNumberFormat="1" applyFont="1" applyBorder="1" applyAlignment="1">
      <alignment horizontal="center" vertical="center"/>
    </xf>
    <xf numFmtId="2" fontId="31" fillId="0" borderId="17" xfId="0" applyNumberFormat="1" applyFont="1" applyBorder="1" applyAlignment="1">
      <alignment horizontal="center" vertical="center"/>
    </xf>
    <xf numFmtId="0" fontId="0" fillId="3" borderId="43" xfId="0" applyFill="1" applyBorder="1" applyAlignment="1">
      <alignment horizontal="center" vertical="center"/>
    </xf>
    <xf numFmtId="0" fontId="20" fillId="3" borderId="1" xfId="0" applyFont="1" applyFill="1" applyBorder="1" applyAlignment="1">
      <alignment vertical="center" wrapText="1"/>
    </xf>
    <xf numFmtId="9" fontId="23" fillId="3" borderId="15" xfId="0" applyNumberFormat="1" applyFont="1" applyFill="1" applyBorder="1" applyAlignment="1">
      <alignment horizontal="center" vertical="center"/>
    </xf>
    <xf numFmtId="1" fontId="32" fillId="0" borderId="15" xfId="0" applyNumberFormat="1" applyFont="1" applyBorder="1" applyAlignment="1">
      <alignment horizontal="center" vertical="center"/>
    </xf>
    <xf numFmtId="2" fontId="31" fillId="0" borderId="1" xfId="0" applyNumberFormat="1" applyFont="1" applyBorder="1" applyAlignment="1">
      <alignment horizontal="center" vertical="center"/>
    </xf>
    <xf numFmtId="0" fontId="0" fillId="3" borderId="44" xfId="0" applyFill="1" applyBorder="1" applyAlignment="1">
      <alignment horizontal="center" vertical="center"/>
    </xf>
    <xf numFmtId="0" fontId="33" fillId="0" borderId="40" xfId="0" applyFont="1" applyBorder="1" applyAlignment="1">
      <alignment wrapText="1"/>
    </xf>
    <xf numFmtId="1" fontId="32" fillId="0" borderId="1" xfId="0" applyNumberFormat="1" applyFont="1" applyBorder="1" applyAlignment="1">
      <alignment horizontal="center" vertical="center"/>
    </xf>
    <xf numFmtId="0" fontId="20" fillId="0" borderId="45" xfId="0" applyFont="1" applyBorder="1" applyAlignment="1">
      <alignment wrapText="1"/>
    </xf>
    <xf numFmtId="0" fontId="33" fillId="0" borderId="45" xfId="0" applyFont="1" applyBorder="1" applyAlignment="1">
      <alignment wrapText="1"/>
    </xf>
    <xf numFmtId="0" fontId="20" fillId="0" borderId="0" xfId="0" applyFont="1" applyAlignment="1">
      <alignment wrapText="1"/>
    </xf>
    <xf numFmtId="9" fontId="23" fillId="3" borderId="1" xfId="0" applyNumberFormat="1" applyFont="1" applyFill="1" applyBorder="1" applyAlignment="1">
      <alignment horizontal="center" vertical="center"/>
    </xf>
    <xf numFmtId="0" fontId="29" fillId="0" borderId="45" xfId="0" applyFont="1" applyBorder="1" applyAlignment="1">
      <alignment wrapText="1"/>
    </xf>
    <xf numFmtId="2" fontId="15" fillId="0" borderId="0" xfId="0" applyNumberFormat="1" applyFont="1" applyAlignment="1">
      <alignment horizontal="center" vertical="center"/>
    </xf>
    <xf numFmtId="0" fontId="18" fillId="5" borderId="21" xfId="0" applyFont="1" applyFill="1" applyBorder="1" applyAlignment="1">
      <alignment horizontal="center" vertical="center"/>
    </xf>
    <xf numFmtId="0" fontId="18" fillId="5" borderId="22" xfId="0" applyFont="1" applyFill="1" applyBorder="1" applyAlignment="1">
      <alignment horizontal="center" vertical="center"/>
    </xf>
    <xf numFmtId="0" fontId="18" fillId="5" borderId="22" xfId="0" applyFont="1" applyFill="1" applyBorder="1" applyAlignment="1">
      <alignment horizontal="center" wrapText="1"/>
    </xf>
    <xf numFmtId="0" fontId="18" fillId="5" borderId="23" xfId="0" applyFont="1" applyFill="1" applyBorder="1" applyAlignment="1">
      <alignment horizontal="center" wrapText="1"/>
    </xf>
    <xf numFmtId="0" fontId="15" fillId="6" borderId="31" xfId="0" applyFont="1" applyFill="1" applyBorder="1" applyAlignment="1">
      <alignment horizontal="center" vertical="center"/>
    </xf>
    <xf numFmtId="0" fontId="15" fillId="6" borderId="22" xfId="0" applyFont="1" applyFill="1" applyBorder="1" applyAlignment="1">
      <alignment horizontal="left" vertical="center"/>
    </xf>
    <xf numFmtId="9" fontId="23" fillId="0" borderId="22" xfId="0" applyNumberFormat="1" applyFont="1" applyBorder="1" applyAlignment="1">
      <alignment horizontal="center" vertical="center"/>
    </xf>
    <xf numFmtId="9" fontId="23" fillId="0" borderId="23" xfId="0" applyNumberFormat="1" applyFont="1" applyBorder="1" applyAlignment="1">
      <alignment horizontal="center" vertical="center"/>
    </xf>
    <xf numFmtId="1" fontId="26" fillId="0" borderId="43" xfId="0" applyNumberFormat="1" applyFont="1" applyBorder="1" applyAlignment="1">
      <alignment horizontal="center" vertical="center"/>
    </xf>
    <xf numFmtId="0" fontId="15" fillId="0" borderId="15" xfId="0" applyFont="1" applyBorder="1" applyAlignment="1">
      <alignment horizontal="center" vertical="center"/>
    </xf>
    <xf numFmtId="0" fontId="0" fillId="0" borderId="1" xfId="0" applyBorder="1" applyAlignment="1">
      <alignment horizontal="left" vertical="center" wrapText="1"/>
    </xf>
    <xf numFmtId="0" fontId="0" fillId="0" borderId="48" xfId="0" applyBorder="1" applyAlignment="1">
      <alignment horizontal="left" vertical="top" wrapText="1"/>
    </xf>
    <xf numFmtId="9" fontId="23" fillId="2" borderId="49" xfId="0" applyNumberFormat="1" applyFont="1" applyFill="1" applyBorder="1" applyAlignment="1">
      <alignment horizontal="center" vertical="center"/>
    </xf>
    <xf numFmtId="0" fontId="0" fillId="0" borderId="50" xfId="0" applyBorder="1" applyAlignment="1">
      <alignment wrapText="1"/>
    </xf>
    <xf numFmtId="0" fontId="0" fillId="3" borderId="15" xfId="0" applyFill="1" applyBorder="1" applyAlignment="1">
      <alignment horizontal="center" vertical="center"/>
    </xf>
    <xf numFmtId="0" fontId="28" fillId="3" borderId="1" xfId="0" applyFont="1" applyFill="1" applyBorder="1" applyAlignment="1">
      <alignment vertical="center" wrapText="1"/>
    </xf>
    <xf numFmtId="0" fontId="20" fillId="0" borderId="15" xfId="0" applyFont="1" applyBorder="1" applyAlignment="1">
      <alignment wrapText="1"/>
    </xf>
    <xf numFmtId="0" fontId="20" fillId="0" borderId="1" xfId="0" applyFont="1" applyBorder="1" applyAlignment="1">
      <alignment wrapText="1"/>
    </xf>
    <xf numFmtId="0" fontId="29" fillId="0" borderId="1" xfId="0" applyFont="1" applyBorder="1" applyAlignment="1">
      <alignment wrapText="1"/>
    </xf>
    <xf numFmtId="1" fontId="30" fillId="0" borderId="15" xfId="0" applyNumberFormat="1" applyFont="1" applyBorder="1" applyAlignment="1">
      <alignment horizontal="center" vertical="center"/>
    </xf>
    <xf numFmtId="0" fontId="20" fillId="0" borderId="15" xfId="0" applyFont="1" applyBorder="1" applyAlignment="1">
      <alignment horizontal="left" wrapText="1"/>
    </xf>
    <xf numFmtId="0" fontId="20" fillId="0" borderId="15" xfId="0" applyFont="1" applyBorder="1" applyAlignment="1">
      <alignment vertical="center"/>
    </xf>
    <xf numFmtId="0" fontId="29" fillId="0" borderId="28" xfId="0" applyFont="1" applyBorder="1" applyAlignment="1">
      <alignment wrapText="1"/>
    </xf>
    <xf numFmtId="0" fontId="20" fillId="0" borderId="17" xfId="0" applyFont="1" applyBorder="1" applyAlignment="1">
      <alignment wrapText="1"/>
    </xf>
    <xf numFmtId="0" fontId="20" fillId="0" borderId="51" xfId="0" applyFont="1" applyBorder="1" applyAlignment="1">
      <alignment wrapText="1"/>
    </xf>
    <xf numFmtId="0" fontId="33" fillId="0" borderId="51" xfId="0" applyFont="1" applyBorder="1" applyAlignment="1">
      <alignment wrapText="1"/>
    </xf>
    <xf numFmtId="0" fontId="33" fillId="0" borderId="1" xfId="0" applyFont="1" applyBorder="1" applyAlignment="1">
      <alignment wrapText="1"/>
    </xf>
    <xf numFmtId="2" fontId="26" fillId="0" borderId="24" xfId="0" applyNumberFormat="1" applyFont="1" applyBorder="1" applyAlignment="1">
      <alignment horizontal="center"/>
    </xf>
    <xf numFmtId="2" fontId="26" fillId="0" borderId="17" xfId="0" applyNumberFormat="1" applyFont="1" applyBorder="1" applyAlignment="1">
      <alignment horizontal="center"/>
    </xf>
    <xf numFmtId="10" fontId="15" fillId="2" borderId="17" xfId="0" applyNumberFormat="1" applyFont="1" applyFill="1" applyBorder="1" applyAlignment="1">
      <alignment horizontal="center"/>
    </xf>
    <xf numFmtId="10" fontId="15" fillId="2" borderId="18" xfId="0" applyNumberFormat="1" applyFont="1" applyFill="1" applyBorder="1" applyAlignment="1">
      <alignment horizontal="center"/>
    </xf>
    <xf numFmtId="9" fontId="16" fillId="0" borderId="41" xfId="0" applyNumberFormat="1" applyFont="1" applyBorder="1" applyAlignment="1">
      <alignment horizontal="center" vertical="center"/>
    </xf>
    <xf numFmtId="9" fontId="16" fillId="0" borderId="42" xfId="0" applyNumberFormat="1" applyFont="1" applyBorder="1" applyAlignment="1">
      <alignment horizontal="center" vertical="center"/>
    </xf>
    <xf numFmtId="0" fontId="0" fillId="0" borderId="15" xfId="0" applyBorder="1" applyAlignment="1">
      <alignment horizontal="center" vertical="center"/>
    </xf>
    <xf numFmtId="0" fontId="28" fillId="0" borderId="1" xfId="0" applyFont="1" applyBorder="1" applyAlignment="1">
      <alignment vertical="center" wrapText="1"/>
    </xf>
    <xf numFmtId="9" fontId="31" fillId="0" borderId="1" xfId="0" applyNumberFormat="1" applyFont="1" applyBorder="1" applyAlignment="1">
      <alignment horizontal="center" vertical="center"/>
    </xf>
    <xf numFmtId="0" fontId="0" fillId="0" borderId="28" xfId="0" applyBorder="1" applyAlignment="1">
      <alignment horizontal="center" vertical="center"/>
    </xf>
    <xf numFmtId="0" fontId="0" fillId="0" borderId="17" xfId="0" applyBorder="1" applyAlignment="1">
      <alignment horizontal="center" vertical="center"/>
    </xf>
    <xf numFmtId="0" fontId="0" fillId="0" borderId="15" xfId="0" applyBorder="1"/>
    <xf numFmtId="0" fontId="0" fillId="0" borderId="1" xfId="0" applyBorder="1"/>
    <xf numFmtId="0" fontId="29" fillId="0" borderId="15" xfId="0" applyFont="1" applyBorder="1" applyAlignment="1">
      <alignment wrapText="1"/>
    </xf>
    <xf numFmtId="0" fontId="29" fillId="0" borderId="17" xfId="0" applyFont="1" applyBorder="1" applyAlignment="1">
      <alignment wrapText="1"/>
    </xf>
    <xf numFmtId="2" fontId="26" fillId="0" borderId="1" xfId="0" applyNumberFormat="1" applyFont="1" applyBorder="1" applyAlignment="1">
      <alignment horizontal="center"/>
    </xf>
    <xf numFmtId="0" fontId="15" fillId="2" borderId="16" xfId="0" applyFont="1" applyFill="1" applyBorder="1" applyAlignment="1">
      <alignment horizontal="center" vertical="center"/>
    </xf>
    <xf numFmtId="0" fontId="15" fillId="2" borderId="13" xfId="0" applyFont="1" applyFill="1" applyBorder="1" applyAlignment="1">
      <alignment horizontal="left" vertical="center"/>
    </xf>
    <xf numFmtId="9" fontId="23" fillId="0" borderId="13" xfId="0" applyNumberFormat="1" applyFont="1" applyBorder="1" applyAlignment="1">
      <alignment horizontal="center" vertical="center"/>
    </xf>
    <xf numFmtId="9" fontId="23" fillId="0" borderId="14" xfId="0" applyNumberFormat="1" applyFont="1" applyBorder="1" applyAlignment="1">
      <alignment horizontal="center" vertical="center"/>
    </xf>
    <xf numFmtId="0" fontId="0" fillId="0" borderId="34" xfId="0" applyBorder="1" applyAlignment="1">
      <alignment horizontal="left" vertical="center" wrapText="1"/>
    </xf>
    <xf numFmtId="0" fontId="0" fillId="0" borderId="46" xfId="0" applyBorder="1" applyAlignment="1">
      <alignment horizontal="left" vertical="top" wrapText="1"/>
    </xf>
    <xf numFmtId="0" fontId="0" fillId="0" borderId="33" xfId="0" applyBorder="1" applyAlignment="1">
      <alignment horizontal="center" vertical="center"/>
    </xf>
    <xf numFmtId="0" fontId="28" fillId="0" borderId="34" xfId="0" applyFont="1" applyBorder="1" applyAlignment="1">
      <alignment vertical="center" wrapText="1"/>
    </xf>
    <xf numFmtId="9" fontId="31" fillId="0" borderId="34" xfId="0" applyNumberFormat="1" applyFont="1" applyBorder="1" applyAlignment="1">
      <alignment horizontal="center" vertical="center"/>
    </xf>
    <xf numFmtId="0" fontId="0" fillId="0" borderId="34" xfId="0" applyBorder="1" applyAlignment="1">
      <alignment horizontal="center" vertical="center"/>
    </xf>
    <xf numFmtId="0" fontId="0" fillId="0" borderId="33" xfId="0" applyBorder="1"/>
    <xf numFmtId="0" fontId="0" fillId="0" borderId="34" xfId="0" applyBorder="1"/>
    <xf numFmtId="0" fontId="0" fillId="3" borderId="53" xfId="0" applyFill="1" applyBorder="1" applyAlignment="1">
      <alignment horizontal="center" vertical="center"/>
    </xf>
    <xf numFmtId="0" fontId="20" fillId="3" borderId="34" xfId="0" applyFont="1" applyFill="1" applyBorder="1" applyAlignment="1">
      <alignment vertical="center" wrapText="1"/>
    </xf>
    <xf numFmtId="9" fontId="23" fillId="3" borderId="34" xfId="0" applyNumberFormat="1" applyFont="1" applyFill="1" applyBorder="1" applyAlignment="1">
      <alignment horizontal="center" vertical="center"/>
    </xf>
    <xf numFmtId="0" fontId="20" fillId="0" borderId="54" xfId="0" applyFont="1" applyBorder="1" applyAlignment="1">
      <alignment wrapText="1"/>
    </xf>
    <xf numFmtId="0" fontId="29" fillId="0" borderId="54" xfId="0" applyFont="1" applyBorder="1" applyAlignment="1">
      <alignment wrapText="1"/>
    </xf>
    <xf numFmtId="0" fontId="20" fillId="0" borderId="41" xfId="0" applyFont="1" applyBorder="1" applyAlignment="1">
      <alignment wrapText="1"/>
    </xf>
    <xf numFmtId="1" fontId="32" fillId="0" borderId="33" xfId="0" applyNumberFormat="1" applyFont="1" applyBorder="1" applyAlignment="1">
      <alignment horizontal="center" vertical="center"/>
    </xf>
    <xf numFmtId="2" fontId="31" fillId="0" borderId="34" xfId="0" applyNumberFormat="1" applyFont="1" applyBorder="1" applyAlignment="1">
      <alignment horizontal="center" vertical="center"/>
    </xf>
    <xf numFmtId="0" fontId="0" fillId="0" borderId="53" xfId="0" applyBorder="1"/>
    <xf numFmtId="0" fontId="22" fillId="0" borderId="34" xfId="0" applyFont="1" applyBorder="1"/>
    <xf numFmtId="0" fontId="20" fillId="0" borderId="34" xfId="0" applyFont="1" applyBorder="1" applyAlignment="1">
      <alignment wrapText="1"/>
    </xf>
    <xf numFmtId="1" fontId="31" fillId="0" borderId="34" xfId="0" applyNumberFormat="1" applyFont="1" applyBorder="1" applyAlignment="1">
      <alignment horizontal="center" vertical="center"/>
    </xf>
    <xf numFmtId="0" fontId="15" fillId="2" borderId="1" xfId="0" applyFont="1" applyFill="1" applyBorder="1" applyAlignment="1">
      <alignment horizontal="left" vertical="center"/>
    </xf>
    <xf numFmtId="0" fontId="15" fillId="0" borderId="55" xfId="0" applyFont="1" applyBorder="1" applyAlignment="1">
      <alignment horizontal="center" vertical="center"/>
    </xf>
    <xf numFmtId="0" fontId="0" fillId="0" borderId="20" xfId="0" applyBorder="1" applyAlignment="1">
      <alignment vertical="top" wrapText="1"/>
    </xf>
    <xf numFmtId="9" fontId="23" fillId="4" borderId="18" xfId="0" applyNumberFormat="1" applyFont="1" applyFill="1" applyBorder="1" applyAlignment="1">
      <alignment horizontal="center" vertical="center"/>
    </xf>
    <xf numFmtId="0" fontId="19" fillId="0" borderId="0" xfId="0" applyFont="1" applyAlignment="1">
      <alignment horizontal="center" wrapText="1"/>
    </xf>
    <xf numFmtId="2" fontId="26" fillId="0" borderId="43" xfId="0" applyNumberFormat="1" applyFont="1" applyBorder="1" applyAlignment="1">
      <alignment horizontal="center"/>
    </xf>
    <xf numFmtId="0" fontId="15" fillId="0" borderId="57" xfId="0" applyFont="1" applyBorder="1" applyAlignment="1">
      <alignment horizontal="center" vertical="center"/>
    </xf>
    <xf numFmtId="0" fontId="0" fillId="0" borderId="48" xfId="0" applyBorder="1" applyAlignment="1">
      <alignment vertical="top" wrapText="1"/>
    </xf>
    <xf numFmtId="2" fontId="26" fillId="0" borderId="21" xfId="0" applyNumberFormat="1" applyFont="1" applyBorder="1" applyAlignment="1">
      <alignment horizontal="center"/>
    </xf>
    <xf numFmtId="2" fontId="26" fillId="0" borderId="22" xfId="0" applyNumberFormat="1" applyFont="1" applyBorder="1" applyAlignment="1">
      <alignment horizontal="center"/>
    </xf>
    <xf numFmtId="1" fontId="26" fillId="0" borderId="58" xfId="0" applyNumberFormat="1" applyFont="1" applyBorder="1" applyAlignment="1">
      <alignment horizontal="center" vertical="center"/>
    </xf>
    <xf numFmtId="2" fontId="15" fillId="5" borderId="59" xfId="0" applyNumberFormat="1" applyFont="1" applyFill="1" applyBorder="1" applyAlignment="1">
      <alignment horizontal="center"/>
    </xf>
    <xf numFmtId="2" fontId="35" fillId="5" borderId="39" xfId="0" applyNumberFormat="1" applyFont="1" applyFill="1" applyBorder="1" applyAlignment="1">
      <alignment horizontal="center"/>
    </xf>
    <xf numFmtId="10" fontId="15" fillId="5" borderId="39" xfId="0" applyNumberFormat="1" applyFont="1" applyFill="1" applyBorder="1" applyAlignment="1">
      <alignment horizontal="center"/>
    </xf>
    <xf numFmtId="2" fontId="15" fillId="5" borderId="39" xfId="0" applyNumberFormat="1" applyFont="1" applyFill="1" applyBorder="1" applyAlignment="1">
      <alignment horizontal="center"/>
    </xf>
    <xf numFmtId="10" fontId="15" fillId="5" borderId="60" xfId="0" applyNumberFormat="1" applyFont="1" applyFill="1" applyBorder="1" applyAlignment="1">
      <alignment horizontal="center"/>
    </xf>
    <xf numFmtId="0" fontId="15" fillId="2" borderId="31" xfId="0" applyFont="1" applyFill="1" applyBorder="1" applyAlignment="1">
      <alignment horizontal="center" vertical="center"/>
    </xf>
    <xf numFmtId="0" fontId="15" fillId="2" borderId="22" xfId="0" applyFont="1" applyFill="1" applyBorder="1" applyAlignment="1">
      <alignment horizontal="left" vertical="center"/>
    </xf>
    <xf numFmtId="0" fontId="0" fillId="0" borderId="43" xfId="0" applyBorder="1"/>
    <xf numFmtId="0" fontId="22" fillId="0" borderId="1" xfId="0" applyFont="1" applyBorder="1"/>
    <xf numFmtId="0" fontId="0" fillId="0" borderId="1" xfId="0" applyBorder="1" applyAlignment="1">
      <alignment horizontal="center" vertical="center"/>
    </xf>
    <xf numFmtId="1" fontId="31" fillId="0" borderId="1" xfId="0" applyNumberFormat="1" applyFont="1" applyBorder="1" applyAlignment="1">
      <alignment horizontal="center" vertical="center"/>
    </xf>
    <xf numFmtId="0" fontId="11" fillId="0" borderId="13" xfId="0" applyFont="1" applyBorder="1" applyAlignment="1">
      <alignment horizontal="center" wrapText="1"/>
    </xf>
    <xf numFmtId="0" fontId="0" fillId="0" borderId="48" xfId="0" applyBorder="1" applyAlignment="1">
      <alignment vertical="center" wrapText="1"/>
    </xf>
    <xf numFmtId="0" fontId="0" fillId="0" borderId="53" xfId="0" applyBorder="1" applyAlignment="1">
      <alignment horizontal="center" vertical="center"/>
    </xf>
    <xf numFmtId="0" fontId="0" fillId="0" borderId="32" xfId="0" applyBorder="1"/>
    <xf numFmtId="0" fontId="0" fillId="0" borderId="41" xfId="0" applyBorder="1"/>
    <xf numFmtId="0" fontId="22" fillId="0" borderId="41" xfId="0" applyFont="1" applyBorder="1"/>
    <xf numFmtId="0" fontId="0" fillId="0" borderId="12" xfId="0" applyBorder="1" applyAlignment="1">
      <alignment wrapText="1"/>
    </xf>
    <xf numFmtId="0" fontId="0" fillId="0" borderId="13" xfId="0" applyBorder="1" applyAlignment="1">
      <alignment wrapText="1"/>
    </xf>
    <xf numFmtId="0" fontId="0" fillId="0" borderId="14" xfId="0" applyBorder="1" applyAlignment="1">
      <alignment wrapText="1"/>
    </xf>
    <xf numFmtId="0" fontId="22" fillId="0" borderId="0" xfId="0" applyFont="1" applyAlignment="1">
      <alignment horizontal="center"/>
    </xf>
    <xf numFmtId="0" fontId="0" fillId="0" borderId="43" xfId="0" applyBorder="1" applyAlignment="1">
      <alignment wrapText="1"/>
    </xf>
    <xf numFmtId="0" fontId="0" fillId="0" borderId="1" xfId="0" applyBorder="1" applyAlignment="1">
      <alignment wrapText="1"/>
    </xf>
    <xf numFmtId="0" fontId="0" fillId="0" borderId="49" xfId="0" applyBorder="1" applyAlignment="1">
      <alignment wrapText="1"/>
    </xf>
    <xf numFmtId="0" fontId="0" fillId="0" borderId="13" xfId="0" applyBorder="1" applyAlignment="1">
      <alignment vertical="center" wrapText="1"/>
    </xf>
    <xf numFmtId="0" fontId="0" fillId="0" borderId="20" xfId="0" applyBorder="1" applyAlignment="1">
      <alignment vertical="center" wrapText="1"/>
    </xf>
    <xf numFmtId="0" fontId="19" fillId="0" borderId="1" xfId="0" applyFont="1" applyBorder="1" applyAlignment="1">
      <alignment wrapText="1"/>
    </xf>
    <xf numFmtId="0" fontId="21" fillId="0" borderId="62" xfId="0" applyFont="1" applyBorder="1" applyAlignment="1">
      <alignment horizontal="center" vertical="center"/>
    </xf>
    <xf numFmtId="0" fontId="21" fillId="0" borderId="63" xfId="0" applyFont="1" applyBorder="1" applyAlignment="1">
      <alignment horizontal="center" wrapText="1"/>
    </xf>
    <xf numFmtId="0" fontId="21" fillId="0" borderId="64" xfId="0" applyFont="1" applyBorder="1" applyAlignment="1">
      <alignment horizontal="center" vertical="center"/>
    </xf>
    <xf numFmtId="1" fontId="26" fillId="0" borderId="65" xfId="0" applyNumberFormat="1" applyFont="1" applyBorder="1" applyAlignment="1">
      <alignment horizontal="center" vertical="center"/>
    </xf>
    <xf numFmtId="0" fontId="15" fillId="0" borderId="66" xfId="0" applyFont="1" applyBorder="1" applyAlignment="1">
      <alignment horizontal="center" vertical="center"/>
    </xf>
    <xf numFmtId="0" fontId="0" fillId="0" borderId="51" xfId="0" applyBorder="1" applyAlignment="1">
      <alignment vertical="center" wrapText="1"/>
    </xf>
    <xf numFmtId="0" fontId="0" fillId="0" borderId="67" xfId="0" applyBorder="1" applyAlignment="1">
      <alignment vertical="center" wrapText="1"/>
    </xf>
    <xf numFmtId="9" fontId="23" fillId="2" borderId="68" xfId="0" applyNumberFormat="1" applyFont="1" applyFill="1" applyBorder="1" applyAlignment="1">
      <alignment horizontal="center" vertical="center"/>
    </xf>
    <xf numFmtId="0" fontId="0" fillId="3" borderId="69" xfId="0" applyFill="1" applyBorder="1" applyAlignment="1">
      <alignment horizontal="center" vertical="center"/>
    </xf>
    <xf numFmtId="0" fontId="24" fillId="0" borderId="24" xfId="0" applyFont="1" applyBorder="1" applyAlignment="1">
      <alignment horizontal="center"/>
    </xf>
    <xf numFmtId="0" fontId="36" fillId="0" borderId="17" xfId="0" applyFont="1" applyBorder="1" applyAlignment="1">
      <alignment horizontal="center"/>
    </xf>
    <xf numFmtId="0" fontId="17" fillId="8" borderId="18" xfId="0" applyFont="1" applyFill="1" applyBorder="1" applyAlignment="1">
      <alignment wrapText="1"/>
    </xf>
    <xf numFmtId="0" fontId="0" fillId="0" borderId="53" xfId="0" applyBorder="1" applyAlignment="1">
      <alignment wrapText="1"/>
    </xf>
    <xf numFmtId="0" fontId="0" fillId="0" borderId="34" xfId="0" applyBorder="1" applyAlignment="1">
      <alignment wrapText="1"/>
    </xf>
    <xf numFmtId="0" fontId="0" fillId="0" borderId="36" xfId="0" applyBorder="1" applyAlignment="1">
      <alignment wrapText="1"/>
    </xf>
    <xf numFmtId="1" fontId="26" fillId="0" borderId="21" xfId="0" applyNumberFormat="1" applyFont="1" applyBorder="1" applyAlignment="1">
      <alignment horizontal="center" vertical="center"/>
    </xf>
    <xf numFmtId="0" fontId="15" fillId="0" borderId="31" xfId="0" applyFont="1" applyBorder="1" applyAlignment="1">
      <alignment horizontal="center" vertical="center"/>
    </xf>
    <xf numFmtId="0" fontId="0" fillId="0" borderId="22" xfId="0" applyBorder="1" applyAlignment="1">
      <alignment vertical="center" wrapText="1"/>
    </xf>
    <xf numFmtId="0" fontId="0" fillId="0" borderId="70" xfId="0" applyBorder="1" applyAlignment="1">
      <alignment vertical="center" wrapText="1"/>
    </xf>
    <xf numFmtId="9" fontId="23" fillId="2" borderId="23" xfId="0" applyNumberFormat="1" applyFont="1" applyFill="1" applyBorder="1" applyAlignment="1">
      <alignment horizontal="center" vertical="center"/>
    </xf>
    <xf numFmtId="0" fontId="0" fillId="0" borderId="71" xfId="0" applyBorder="1" applyAlignment="1">
      <alignment wrapText="1"/>
    </xf>
    <xf numFmtId="0" fontId="0" fillId="0" borderId="43" xfId="0" applyBorder="1" applyAlignment="1">
      <alignment horizontal="center" vertical="center"/>
    </xf>
    <xf numFmtId="9" fontId="23" fillId="0" borderId="1" xfId="0" applyNumberFormat="1" applyFont="1" applyBorder="1" applyAlignment="1">
      <alignment horizontal="center" vertical="center"/>
    </xf>
    <xf numFmtId="0" fontId="24" fillId="0" borderId="43" xfId="0" applyFont="1" applyBorder="1" applyAlignment="1">
      <alignment horizontal="center"/>
    </xf>
    <xf numFmtId="0" fontId="36" fillId="0" borderId="1" xfId="0" applyFont="1" applyBorder="1" applyAlignment="1">
      <alignment horizontal="center"/>
    </xf>
    <xf numFmtId="0" fontId="17" fillId="9" borderId="49" xfId="0" applyFont="1" applyFill="1" applyBorder="1" applyAlignment="1">
      <alignment vertical="center"/>
    </xf>
    <xf numFmtId="0" fontId="15" fillId="0" borderId="72" xfId="0" applyFont="1" applyBorder="1" applyAlignment="1">
      <alignment horizontal="center" vertical="center"/>
    </xf>
    <xf numFmtId="0" fontId="27" fillId="0" borderId="17" xfId="0" applyFont="1" applyBorder="1" applyAlignment="1">
      <alignment vertical="center" wrapText="1"/>
    </xf>
    <xf numFmtId="0" fontId="27" fillId="0" borderId="29" xfId="0" applyFont="1" applyBorder="1" applyAlignment="1">
      <alignment vertical="center" wrapText="1"/>
    </xf>
    <xf numFmtId="9" fontId="23" fillId="0" borderId="34" xfId="0" applyNumberFormat="1" applyFont="1" applyBorder="1" applyAlignment="1">
      <alignment horizontal="center" vertical="center"/>
    </xf>
    <xf numFmtId="0" fontId="17" fillId="10" borderId="49" xfId="0" applyFont="1" applyFill="1" applyBorder="1" applyAlignment="1">
      <alignment vertical="center"/>
    </xf>
    <xf numFmtId="0" fontId="27" fillId="0" borderId="1" xfId="0" applyFont="1" applyBorder="1" applyAlignment="1">
      <alignment vertical="center" wrapText="1"/>
    </xf>
    <xf numFmtId="0" fontId="27" fillId="0" borderId="48" xfId="0" applyFont="1" applyBorder="1" applyAlignment="1">
      <alignment vertical="center" wrapText="1"/>
    </xf>
    <xf numFmtId="0" fontId="24" fillId="0" borderId="53" xfId="0" applyFont="1" applyBorder="1" applyAlignment="1">
      <alignment horizontal="center"/>
    </xf>
    <xf numFmtId="0" fontId="36" fillId="0" borderId="34" xfId="0" applyFont="1" applyBorder="1" applyAlignment="1">
      <alignment horizontal="center"/>
    </xf>
    <xf numFmtId="0" fontId="17" fillId="11" borderId="36" xfId="0" applyFont="1" applyFill="1" applyBorder="1" applyAlignment="1">
      <alignment wrapText="1"/>
    </xf>
    <xf numFmtId="9" fontId="20" fillId="0" borderId="1" xfId="0" applyNumberFormat="1" applyFont="1" applyBorder="1" applyAlignment="1">
      <alignment wrapText="1"/>
    </xf>
    <xf numFmtId="0" fontId="15" fillId="0" borderId="0" xfId="0" applyFont="1"/>
    <xf numFmtId="0" fontId="0" fillId="0" borderId="1" xfId="0" applyBorder="1" applyAlignment="1">
      <alignment vertical="center" wrapText="1"/>
    </xf>
    <xf numFmtId="0" fontId="20" fillId="0" borderId="1" xfId="0" applyFont="1" applyBorder="1" applyAlignment="1">
      <alignment vertical="center" wrapText="1"/>
    </xf>
    <xf numFmtId="0" fontId="15" fillId="0" borderId="72" xfId="0" applyFont="1" applyBorder="1"/>
    <xf numFmtId="9" fontId="0" fillId="4" borderId="72" xfId="0" applyNumberFormat="1" applyFill="1" applyBorder="1" applyAlignment="1">
      <alignment horizontal="center"/>
    </xf>
    <xf numFmtId="1" fontId="16" fillId="3" borderId="12" xfId="0" applyNumberFormat="1" applyFont="1" applyFill="1" applyBorder="1" applyAlignment="1">
      <alignment horizontal="center"/>
    </xf>
    <xf numFmtId="2" fontId="16" fillId="2" borderId="14" xfId="0" applyNumberFormat="1" applyFont="1" applyFill="1" applyBorder="1" applyAlignment="1">
      <alignment horizontal="center"/>
    </xf>
    <xf numFmtId="1" fontId="0" fillId="3" borderId="12" xfId="0" applyNumberFormat="1" applyFill="1" applyBorder="1" applyAlignment="1">
      <alignment horizontal="center"/>
    </xf>
    <xf numFmtId="2" fontId="0" fillId="2" borderId="14" xfId="0" applyNumberFormat="1" applyFill="1" applyBorder="1" applyAlignment="1">
      <alignment horizontal="center"/>
    </xf>
    <xf numFmtId="2" fontId="15" fillId="3" borderId="28" xfId="0" applyNumberFormat="1" applyFont="1" applyFill="1" applyBorder="1" applyAlignment="1">
      <alignment horizontal="center"/>
    </xf>
    <xf numFmtId="2" fontId="15" fillId="3" borderId="17" xfId="0" applyNumberFormat="1" applyFont="1" applyFill="1" applyBorder="1" applyAlignment="1">
      <alignment horizontal="center"/>
    </xf>
    <xf numFmtId="1" fontId="15" fillId="3" borderId="1" xfId="0" applyNumberFormat="1" applyFont="1" applyFill="1" applyBorder="1" applyAlignment="1">
      <alignment horizontal="center"/>
    </xf>
    <xf numFmtId="0" fontId="22" fillId="4" borderId="57" xfId="0" applyFont="1" applyFill="1" applyBorder="1" applyAlignment="1">
      <alignment horizontal="center"/>
    </xf>
    <xf numFmtId="0" fontId="22" fillId="3" borderId="53" xfId="0" applyFont="1" applyFill="1" applyBorder="1" applyAlignment="1">
      <alignment horizontal="center"/>
    </xf>
    <xf numFmtId="0" fontId="15" fillId="2" borderId="36" xfId="0" applyFont="1" applyFill="1" applyBorder="1" applyAlignment="1">
      <alignment horizontal="center" wrapText="1"/>
    </xf>
    <xf numFmtId="0" fontId="15" fillId="3" borderId="53" xfId="0" applyFont="1" applyFill="1" applyBorder="1" applyAlignment="1">
      <alignment horizontal="center"/>
    </xf>
    <xf numFmtId="0" fontId="22" fillId="2" borderId="36" xfId="0" applyFont="1" applyFill="1" applyBorder="1" applyAlignment="1">
      <alignment horizontal="center" wrapText="1"/>
    </xf>
    <xf numFmtId="0" fontId="18" fillId="3" borderId="15" xfId="0" applyFont="1" applyFill="1" applyBorder="1" applyAlignment="1">
      <alignment horizontal="center" wrapText="1"/>
    </xf>
    <xf numFmtId="0" fontId="19" fillId="3" borderId="1" xfId="0" applyFont="1" applyFill="1" applyBorder="1" applyAlignment="1">
      <alignment horizontal="center" wrapText="1"/>
    </xf>
    <xf numFmtId="0" fontId="15" fillId="3" borderId="1" xfId="0" applyFont="1" applyFill="1" applyBorder="1" applyAlignment="1">
      <alignment horizontal="center"/>
    </xf>
    <xf numFmtId="1" fontId="26" fillId="0" borderId="30" xfId="0" applyNumberFormat="1" applyFont="1" applyBorder="1" applyAlignment="1">
      <alignment horizontal="center" vertical="center"/>
    </xf>
    <xf numFmtId="0" fontId="15" fillId="0" borderId="24" xfId="0" applyFont="1" applyBorder="1" applyAlignment="1">
      <alignment horizontal="center" vertical="center"/>
    </xf>
    <xf numFmtId="1" fontId="26" fillId="0" borderId="73" xfId="0" applyNumberFormat="1" applyFont="1" applyBorder="1" applyAlignment="1">
      <alignment horizontal="center" vertical="center"/>
    </xf>
    <xf numFmtId="0" fontId="15" fillId="0" borderId="43" xfId="0" applyFont="1" applyBorder="1" applyAlignment="1">
      <alignment horizontal="center" vertical="center"/>
    </xf>
    <xf numFmtId="1" fontId="26" fillId="0" borderId="74" xfId="0" applyNumberFormat="1" applyFont="1" applyBorder="1" applyAlignment="1">
      <alignment horizontal="center" vertical="center"/>
    </xf>
    <xf numFmtId="0" fontId="15" fillId="0" borderId="12" xfId="0" applyFont="1" applyBorder="1" applyAlignment="1">
      <alignment horizontal="center" vertical="center"/>
    </xf>
    <xf numFmtId="0" fontId="0" fillId="0" borderId="30" xfId="0" applyBorder="1" applyAlignment="1">
      <alignment vertical="distributed" wrapText="1"/>
    </xf>
    <xf numFmtId="0" fontId="0" fillId="0" borderId="50" xfId="0" applyBorder="1" applyAlignment="1">
      <alignment vertical="distributed" wrapText="1"/>
    </xf>
    <xf numFmtId="0" fontId="0" fillId="0" borderId="37" xfId="0" applyBorder="1" applyAlignment="1">
      <alignment vertical="distributed" wrapText="1"/>
    </xf>
    <xf numFmtId="1" fontId="26" fillId="0" borderId="56" xfId="0" applyNumberFormat="1" applyFont="1" applyBorder="1" applyAlignment="1">
      <alignment horizontal="center" vertical="center"/>
    </xf>
    <xf numFmtId="1" fontId="26" fillId="0" borderId="71" xfId="0" applyNumberFormat="1" applyFont="1" applyBorder="1" applyAlignment="1">
      <alignment horizontal="center" vertical="center"/>
    </xf>
    <xf numFmtId="0" fontId="15" fillId="0" borderId="21" xfId="0" applyFont="1" applyBorder="1" applyAlignment="1">
      <alignment horizontal="center" vertical="center"/>
    </xf>
    <xf numFmtId="0" fontId="26" fillId="0" borderId="30" xfId="0" applyFont="1" applyBorder="1" applyAlignment="1">
      <alignment horizontal="center" vertical="center"/>
    </xf>
    <xf numFmtId="0" fontId="26" fillId="0" borderId="73" xfId="0" applyFont="1" applyBorder="1" applyAlignment="1">
      <alignment horizontal="center" vertical="center"/>
    </xf>
    <xf numFmtId="0" fontId="26" fillId="0" borderId="56" xfId="0" applyFont="1" applyBorder="1" applyAlignment="1">
      <alignment horizontal="center" vertical="center"/>
    </xf>
    <xf numFmtId="0" fontId="26" fillId="0" borderId="74" xfId="0" applyFont="1" applyBorder="1" applyAlignment="1">
      <alignment horizontal="center" vertical="center"/>
    </xf>
    <xf numFmtId="0" fontId="26" fillId="0" borderId="75" xfId="0" applyFont="1" applyBorder="1" applyAlignment="1">
      <alignment horizontal="center" vertical="center"/>
    </xf>
    <xf numFmtId="0" fontId="34" fillId="2" borderId="43" xfId="0" applyFont="1" applyFill="1" applyBorder="1" applyAlignment="1">
      <alignment horizontal="center" vertical="center"/>
    </xf>
    <xf numFmtId="0" fontId="34" fillId="2" borderId="1" xfId="0" applyFont="1" applyFill="1" applyBorder="1" applyAlignment="1">
      <alignment horizontal="center" vertical="center"/>
    </xf>
    <xf numFmtId="0" fontId="34" fillId="2" borderId="49" xfId="0" applyFont="1" applyFill="1" applyBorder="1" applyAlignment="1">
      <alignment horizontal="center" vertical="center"/>
    </xf>
    <xf numFmtId="0" fontId="15" fillId="2" borderId="53" xfId="0" applyFont="1" applyFill="1" applyBorder="1" applyAlignment="1">
      <alignment horizontal="center" wrapText="1"/>
    </xf>
    <xf numFmtId="0" fontId="15" fillId="2" borderId="34" xfId="0" applyFont="1" applyFill="1" applyBorder="1" applyAlignment="1">
      <alignment horizontal="center" wrapText="1"/>
    </xf>
    <xf numFmtId="0" fontId="34" fillId="6" borderId="16" xfId="0" applyFont="1" applyFill="1" applyBorder="1" applyAlignment="1">
      <alignment horizontal="center" vertical="center"/>
    </xf>
    <xf numFmtId="0" fontId="15" fillId="6" borderId="14" xfId="0" applyFont="1" applyFill="1" applyBorder="1" applyAlignment="1">
      <alignment horizontal="left" vertical="center"/>
    </xf>
    <xf numFmtId="0" fontId="25" fillId="4" borderId="12" xfId="0" applyFont="1" applyFill="1" applyBorder="1" applyAlignment="1">
      <alignment vertical="center"/>
    </xf>
    <xf numFmtId="0" fontId="25" fillId="4" borderId="13" xfId="0" applyFont="1" applyFill="1" applyBorder="1" applyAlignment="1">
      <alignment vertical="center"/>
    </xf>
    <xf numFmtId="0" fontId="25" fillId="4" borderId="14" xfId="0" applyFont="1" applyFill="1" applyBorder="1" applyAlignment="1">
      <alignment vertical="center"/>
    </xf>
    <xf numFmtId="0" fontId="15" fillId="0" borderId="0" xfId="0" applyFont="1" applyAlignment="1">
      <alignment horizontal="center" wrapText="1"/>
    </xf>
    <xf numFmtId="0" fontId="34" fillId="6" borderId="15" xfId="0" applyFont="1" applyFill="1" applyBorder="1" applyAlignment="1">
      <alignment horizontal="center" vertical="center"/>
    </xf>
    <xf numFmtId="0" fontId="15" fillId="6" borderId="49" xfId="0" applyFont="1" applyFill="1" applyBorder="1" applyAlignment="1">
      <alignment horizontal="left" vertical="center"/>
    </xf>
    <xf numFmtId="0" fontId="25" fillId="4" borderId="43" xfId="0" applyFont="1" applyFill="1" applyBorder="1" applyAlignment="1">
      <alignment vertical="center"/>
    </xf>
    <xf numFmtId="0" fontId="25" fillId="4" borderId="1" xfId="0" applyFont="1" applyFill="1" applyBorder="1" applyAlignment="1">
      <alignment vertical="center"/>
    </xf>
    <xf numFmtId="0" fontId="25" fillId="4" borderId="49" xfId="0" applyFont="1" applyFill="1" applyBorder="1" applyAlignment="1">
      <alignment vertical="center"/>
    </xf>
    <xf numFmtId="0" fontId="12" fillId="3" borderId="1" xfId="0" applyFont="1" applyFill="1" applyBorder="1" applyAlignment="1">
      <alignment horizontal="center" vertical="center"/>
    </xf>
    <xf numFmtId="0" fontId="37" fillId="7" borderId="1" xfId="0" applyFont="1" applyFill="1" applyBorder="1" applyAlignment="1">
      <alignment horizontal="center" vertical="center"/>
    </xf>
    <xf numFmtId="0" fontId="15" fillId="6" borderId="49" xfId="0" applyFont="1" applyFill="1" applyBorder="1" applyAlignment="1">
      <alignment horizontal="left" wrapText="1"/>
    </xf>
    <xf numFmtId="0" fontId="26" fillId="0" borderId="50" xfId="0" applyFont="1" applyBorder="1" applyAlignment="1">
      <alignment horizontal="center" vertical="center"/>
    </xf>
    <xf numFmtId="0" fontId="34" fillId="6" borderId="33" xfId="0" applyFont="1" applyFill="1" applyBorder="1" applyAlignment="1">
      <alignment horizontal="center" vertical="center"/>
    </xf>
    <xf numFmtId="0" fontId="15" fillId="6" borderId="36" xfId="0" applyFont="1" applyFill="1" applyBorder="1" applyAlignment="1">
      <alignment horizontal="left" wrapText="1"/>
    </xf>
    <xf numFmtId="0" fontId="25" fillId="4" borderId="53" xfId="0" applyFont="1" applyFill="1" applyBorder="1" applyAlignment="1">
      <alignment vertical="center"/>
    </xf>
    <xf numFmtId="0" fontId="25" fillId="4" borderId="34" xfId="0" applyFont="1" applyFill="1" applyBorder="1" applyAlignment="1">
      <alignment vertical="center"/>
    </xf>
    <xf numFmtId="0" fontId="25" fillId="4" borderId="36" xfId="0" applyFont="1" applyFill="1" applyBorder="1" applyAlignment="1">
      <alignment vertical="center"/>
    </xf>
    <xf numFmtId="0" fontId="26" fillId="0" borderId="47" xfId="0" applyFont="1" applyBorder="1" applyAlignment="1">
      <alignment horizontal="center" vertical="center"/>
    </xf>
    <xf numFmtId="0" fontId="15" fillId="0" borderId="32" xfId="0" applyFont="1" applyBorder="1" applyAlignment="1">
      <alignment horizontal="center" vertical="center"/>
    </xf>
    <xf numFmtId="0" fontId="0" fillId="0" borderId="41" xfId="0" applyBorder="1" applyAlignment="1">
      <alignment vertical="center" wrapText="1"/>
    </xf>
    <xf numFmtId="0" fontId="0" fillId="0" borderId="77" xfId="0" applyBorder="1" applyAlignment="1">
      <alignment vertical="center" wrapText="1"/>
    </xf>
    <xf numFmtId="9" fontId="23" fillId="2" borderId="42" xfId="0" applyNumberFormat="1" applyFont="1" applyFill="1" applyBorder="1" applyAlignment="1">
      <alignment horizontal="center" vertical="center"/>
    </xf>
    <xf numFmtId="0" fontId="15" fillId="0" borderId="53" xfId="0" applyFont="1" applyBorder="1" applyAlignment="1">
      <alignment horizontal="center" vertical="center"/>
    </xf>
    <xf numFmtId="0" fontId="0" fillId="0" borderId="34" xfId="0" applyBorder="1" applyAlignment="1">
      <alignment vertical="center" wrapText="1"/>
    </xf>
    <xf numFmtId="0" fontId="0" fillId="0" borderId="46" xfId="0" applyBorder="1" applyAlignment="1">
      <alignment vertical="center" wrapText="1"/>
    </xf>
    <xf numFmtId="0" fontId="7" fillId="6" borderId="11" xfId="0" applyFont="1" applyFill="1" applyBorder="1" applyAlignment="1">
      <alignment horizontal="center" vertical="center" textRotation="90"/>
    </xf>
    <xf numFmtId="0" fontId="15" fillId="2" borderId="19" xfId="0" applyFont="1" applyFill="1" applyBorder="1" applyAlignment="1">
      <alignment horizontal="center" vertical="center"/>
    </xf>
    <xf numFmtId="0" fontId="15" fillId="2" borderId="12" xfId="0" applyFont="1" applyFill="1" applyBorder="1" applyAlignment="1">
      <alignment horizontal="center" vertical="center"/>
    </xf>
    <xf numFmtId="0" fontId="0" fillId="3" borderId="21" xfId="0" applyFill="1" applyBorder="1" applyAlignment="1">
      <alignment horizontal="center" wrapText="1"/>
    </xf>
    <xf numFmtId="0" fontId="0" fillId="3" borderId="22" xfId="0" applyFill="1" applyBorder="1" applyAlignment="1">
      <alignment horizontal="center" wrapText="1"/>
    </xf>
    <xf numFmtId="0" fontId="0" fillId="5" borderId="23" xfId="0" applyFill="1" applyBorder="1" applyAlignment="1">
      <alignment horizontal="center" wrapText="1"/>
    </xf>
    <xf numFmtId="0" fontId="16" fillId="5" borderId="24" xfId="0" applyFont="1" applyFill="1" applyBorder="1" applyAlignment="1">
      <alignment horizontal="center" wrapText="1"/>
    </xf>
    <xf numFmtId="0" fontId="16" fillId="5" borderId="17" xfId="0" applyFont="1" applyFill="1" applyBorder="1" applyAlignment="1">
      <alignment horizontal="center" wrapText="1"/>
    </xf>
    <xf numFmtId="0" fontId="16" fillId="5" borderId="25" xfId="0" applyFont="1" applyFill="1" applyBorder="1" applyAlignment="1">
      <alignment horizontal="center" wrapText="1"/>
    </xf>
    <xf numFmtId="0" fontId="25" fillId="0" borderId="26" xfId="0" applyFont="1" applyBorder="1" applyAlignment="1">
      <alignment horizontal="center" vertical="center" textRotation="90"/>
    </xf>
    <xf numFmtId="0" fontId="17" fillId="0" borderId="27" xfId="0" applyFont="1" applyBorder="1" applyAlignment="1">
      <alignment horizontal="left" vertical="center" wrapText="1"/>
    </xf>
    <xf numFmtId="0" fontId="17" fillId="4" borderId="12" xfId="0" applyFont="1" applyFill="1" applyBorder="1" applyAlignment="1">
      <alignment horizontal="center" vertical="center"/>
    </xf>
    <xf numFmtId="0" fontId="18" fillId="7" borderId="15" xfId="0" applyFont="1" applyFill="1" applyBorder="1" applyAlignment="1">
      <alignment horizontal="center" vertical="center"/>
    </xf>
    <xf numFmtId="0" fontId="18" fillId="7" borderId="1" xfId="0" applyFont="1" applyFill="1" applyBorder="1" applyAlignment="1">
      <alignment horizontal="center" vertical="center"/>
    </xf>
    <xf numFmtId="0" fontId="20" fillId="2" borderId="22" xfId="0" applyFont="1" applyFill="1" applyBorder="1" applyAlignment="1">
      <alignment horizontal="center" wrapText="1"/>
    </xf>
    <xf numFmtId="0" fontId="22" fillId="2" borderId="31" xfId="0" applyFont="1" applyFill="1" applyBorder="1" applyAlignment="1">
      <alignment horizontal="center" vertical="center"/>
    </xf>
    <xf numFmtId="0" fontId="19" fillId="2" borderId="22" xfId="0" applyFont="1" applyFill="1" applyBorder="1" applyAlignment="1">
      <alignment horizontal="center" wrapText="1"/>
    </xf>
    <xf numFmtId="0" fontId="19" fillId="2" borderId="23" xfId="0" applyFont="1" applyFill="1" applyBorder="1" applyAlignment="1">
      <alignment horizontal="center" vertical="center"/>
    </xf>
    <xf numFmtId="0" fontId="15" fillId="4" borderId="21" xfId="0" applyFont="1" applyFill="1" applyBorder="1" applyAlignment="1">
      <alignment horizontal="left" vertical="center"/>
    </xf>
    <xf numFmtId="0" fontId="0" fillId="7" borderId="22" xfId="0" applyFill="1" applyBorder="1" applyAlignment="1">
      <alignment horizontal="center" vertical="center"/>
    </xf>
    <xf numFmtId="0" fontId="17" fillId="0" borderId="38" xfId="0" applyFont="1" applyBorder="1" applyAlignment="1">
      <alignment horizontal="left" vertical="center" wrapText="1"/>
    </xf>
    <xf numFmtId="0" fontId="19" fillId="0" borderId="24" xfId="0" applyFont="1" applyBorder="1" applyAlignment="1">
      <alignment horizontal="left" wrapText="1"/>
    </xf>
    <xf numFmtId="0" fontId="20" fillId="0" borderId="18" xfId="0" applyFont="1" applyBorder="1" applyAlignment="1">
      <alignment horizontal="left" wrapText="1"/>
    </xf>
    <xf numFmtId="9" fontId="0" fillId="0" borderId="39" xfId="0" applyNumberFormat="1" applyBorder="1" applyAlignment="1">
      <alignment horizontal="center" vertical="center"/>
    </xf>
    <xf numFmtId="2" fontId="0" fillId="0" borderId="41" xfId="0" applyNumberFormat="1" applyBorder="1" applyAlignment="1">
      <alignment horizontal="center" vertical="center"/>
    </xf>
    <xf numFmtId="0" fontId="0" fillId="0" borderId="42" xfId="0" applyBorder="1" applyAlignment="1">
      <alignment horizontal="center" vertical="center"/>
    </xf>
    <xf numFmtId="2" fontId="0" fillId="0" borderId="34" xfId="0" applyNumberFormat="1" applyBorder="1" applyAlignment="1">
      <alignment horizontal="center" vertical="center"/>
    </xf>
    <xf numFmtId="2" fontId="0" fillId="0" borderId="42" xfId="0" applyNumberFormat="1" applyBorder="1" applyAlignment="1">
      <alignment horizontal="center" vertical="center"/>
    </xf>
    <xf numFmtId="9" fontId="0" fillId="0" borderId="34" xfId="0" applyNumberFormat="1" applyBorder="1" applyAlignment="1">
      <alignment horizontal="center" vertical="center"/>
    </xf>
    <xf numFmtId="2" fontId="0" fillId="0" borderId="36" xfId="0" applyNumberFormat="1" applyBorder="1" applyAlignment="1">
      <alignment horizontal="center" vertical="center"/>
    </xf>
    <xf numFmtId="2" fontId="0" fillId="0" borderId="46" xfId="0" applyNumberFormat="1" applyBorder="1" applyAlignment="1">
      <alignment horizontal="center" vertical="center"/>
    </xf>
    <xf numFmtId="2" fontId="15" fillId="0" borderId="47" xfId="0" applyNumberFormat="1" applyFont="1" applyBorder="1" applyAlignment="1">
      <alignment horizontal="center" vertical="center"/>
    </xf>
    <xf numFmtId="2" fontId="15" fillId="0" borderId="41" xfId="0" applyNumberFormat="1" applyFont="1" applyBorder="1" applyAlignment="1">
      <alignment horizontal="center" vertical="center"/>
    </xf>
    <xf numFmtId="2" fontId="15" fillId="0" borderId="42" xfId="0" applyNumberFormat="1" applyFont="1" applyBorder="1" applyAlignment="1">
      <alignment horizontal="center" vertical="center"/>
    </xf>
    <xf numFmtId="0" fontId="19" fillId="0" borderId="43" xfId="0" applyFont="1" applyBorder="1" applyAlignment="1">
      <alignment horizontal="left" wrapText="1"/>
    </xf>
    <xf numFmtId="0" fontId="20" fillId="0" borderId="49" xfId="0" applyFont="1" applyBorder="1" applyAlignment="1">
      <alignment horizontal="left" wrapText="1"/>
    </xf>
    <xf numFmtId="0" fontId="15" fillId="6" borderId="52" xfId="0" applyFont="1" applyFill="1" applyBorder="1" applyAlignment="1">
      <alignment horizontal="right" vertical="center"/>
    </xf>
    <xf numFmtId="0" fontId="7" fillId="2" borderId="11" xfId="0" applyFont="1" applyFill="1" applyBorder="1" applyAlignment="1">
      <alignment horizontal="center" vertical="center" textRotation="90"/>
    </xf>
    <xf numFmtId="0" fontId="19" fillId="0" borderId="53" xfId="0" applyFont="1" applyBorder="1" applyAlignment="1">
      <alignment horizontal="left" wrapText="1"/>
    </xf>
    <xf numFmtId="0" fontId="20" fillId="0" borderId="36" xfId="0" applyFont="1" applyBorder="1" applyAlignment="1">
      <alignment horizontal="left" wrapText="1"/>
    </xf>
    <xf numFmtId="0" fontId="15" fillId="4" borderId="24" xfId="0" applyFont="1" applyFill="1" applyBorder="1" applyAlignment="1">
      <alignment horizontal="left" vertical="center"/>
    </xf>
    <xf numFmtId="0" fontId="19" fillId="0" borderId="56" xfId="0" applyFont="1" applyBorder="1" applyAlignment="1">
      <alignment horizontal="center" wrapText="1"/>
    </xf>
    <xf numFmtId="0" fontId="19" fillId="0" borderId="43" xfId="0" applyFont="1" applyBorder="1" applyAlignment="1">
      <alignment horizontal="left" vertical="center"/>
    </xf>
    <xf numFmtId="0" fontId="0" fillId="0" borderId="36" xfId="0" applyBorder="1" applyAlignment="1">
      <alignment horizontal="center" vertical="center"/>
    </xf>
    <xf numFmtId="2" fontId="15" fillId="0" borderId="53" xfId="0" applyNumberFormat="1" applyFont="1" applyBorder="1" applyAlignment="1">
      <alignment horizontal="center" vertical="center"/>
    </xf>
    <xf numFmtId="2" fontId="15" fillId="0" borderId="34" xfId="0" applyNumberFormat="1" applyFont="1" applyBorder="1" applyAlignment="1">
      <alignment horizontal="center" vertical="center"/>
    </xf>
    <xf numFmtId="2" fontId="15" fillId="0" borderId="36" xfId="0" applyNumberFormat="1" applyFont="1" applyBorder="1" applyAlignment="1">
      <alignment horizontal="center" vertical="center"/>
    </xf>
    <xf numFmtId="0" fontId="0" fillId="0" borderId="43" xfId="0" applyBorder="1" applyAlignment="1">
      <alignment horizontal="left" vertical="center"/>
    </xf>
    <xf numFmtId="0" fontId="0" fillId="0" borderId="49" xfId="0" applyBorder="1" applyAlignment="1">
      <alignment horizontal="left"/>
    </xf>
    <xf numFmtId="0" fontId="15" fillId="2" borderId="52" xfId="0" applyFont="1" applyFill="1" applyBorder="1" applyAlignment="1">
      <alignment horizontal="right" vertical="center"/>
    </xf>
    <xf numFmtId="0" fontId="0" fillId="0" borderId="53" xfId="0" applyBorder="1" applyAlignment="1">
      <alignment horizontal="left" vertical="center"/>
    </xf>
    <xf numFmtId="0" fontId="0" fillId="0" borderId="36" xfId="0" applyBorder="1" applyAlignment="1">
      <alignment horizontal="left"/>
    </xf>
    <xf numFmtId="0" fontId="15" fillId="4" borderId="24" xfId="0" applyFont="1" applyFill="1" applyBorder="1" applyAlignment="1">
      <alignment horizontal="left" wrapText="1"/>
    </xf>
    <xf numFmtId="0" fontId="22" fillId="0" borderId="56" xfId="0" applyFont="1" applyBorder="1" applyAlignment="1">
      <alignment horizontal="center"/>
    </xf>
    <xf numFmtId="0" fontId="12" fillId="0" borderId="11" xfId="0" applyFont="1" applyBorder="1" applyAlignment="1">
      <alignment horizontal="center" vertical="center"/>
    </xf>
    <xf numFmtId="0" fontId="17" fillId="0" borderId="61" xfId="0" applyFont="1" applyBorder="1" applyAlignment="1">
      <alignment horizontal="left" vertical="center" wrapText="1"/>
    </xf>
    <xf numFmtId="0" fontId="19" fillId="0" borderId="43" xfId="0" applyFont="1" applyBorder="1" applyAlignment="1">
      <alignment vertical="center"/>
    </xf>
    <xf numFmtId="0" fontId="19" fillId="0" borderId="43" xfId="0" applyFont="1" applyBorder="1" applyAlignment="1">
      <alignment wrapText="1"/>
    </xf>
    <xf numFmtId="1" fontId="36" fillId="0" borderId="39" xfId="0" applyNumberFormat="1" applyFont="1" applyBorder="1" applyAlignment="1">
      <alignment horizontal="center" vertical="center"/>
    </xf>
    <xf numFmtId="0" fontId="0" fillId="0" borderId="49" xfId="0" applyBorder="1" applyAlignment="1">
      <alignment horizontal="center"/>
    </xf>
    <xf numFmtId="0" fontId="19" fillId="0" borderId="53" xfId="0" applyFont="1" applyBorder="1" applyAlignment="1">
      <alignment wrapText="1"/>
    </xf>
    <xf numFmtId="0" fontId="0" fillId="0" borderId="36" xfId="0" applyBorder="1" applyAlignment="1">
      <alignment horizontal="center"/>
    </xf>
    <xf numFmtId="0" fontId="20" fillId="0" borderId="49" xfId="0" applyFont="1" applyBorder="1" applyAlignment="1">
      <alignment horizontal="center" wrapText="1"/>
    </xf>
    <xf numFmtId="0" fontId="20" fillId="0" borderId="36" xfId="0" applyFont="1" applyBorder="1" applyAlignment="1">
      <alignment horizontal="center" wrapText="1"/>
    </xf>
    <xf numFmtId="0" fontId="17" fillId="0" borderId="61" xfId="0" applyFont="1" applyBorder="1" applyAlignment="1">
      <alignment horizontal="center" vertical="center" wrapText="1"/>
    </xf>
    <xf numFmtId="0" fontId="15" fillId="0" borderId="16" xfId="0" applyFont="1" applyBorder="1" applyAlignment="1">
      <alignment horizontal="center"/>
    </xf>
    <xf numFmtId="9" fontId="0" fillId="0" borderId="13" xfId="0" applyNumberFormat="1"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16" fillId="0" borderId="34" xfId="0" applyFont="1" applyBorder="1" applyAlignment="1">
      <alignment horizontal="center"/>
    </xf>
    <xf numFmtId="0" fontId="0" fillId="0" borderId="34" xfId="0" applyBorder="1" applyAlignment="1">
      <alignment horizontal="center"/>
    </xf>
    <xf numFmtId="0" fontId="25" fillId="2" borderId="56" xfId="0" applyFont="1" applyFill="1" applyBorder="1" applyAlignment="1">
      <alignment horizontal="center" vertical="center"/>
    </xf>
    <xf numFmtId="0" fontId="25" fillId="0" borderId="76" xfId="0" applyFont="1" applyBorder="1" applyAlignment="1">
      <alignment horizontal="center" vertical="center" textRotation="90"/>
    </xf>
    <xf numFmtId="0" fontId="25" fillId="6" borderId="11" xfId="0" applyFont="1" applyFill="1" applyBorder="1" applyAlignment="1">
      <alignment horizontal="center" vertical="center" textRotation="90"/>
    </xf>
    <xf numFmtId="0" fontId="25"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548235"/>
      <rgbColor rgb="FF800080"/>
      <rgbColor rgb="FF008080"/>
      <rgbColor rgb="FFC5E0B4"/>
      <rgbColor rgb="FF808080"/>
      <rgbColor rgb="FF9999FF"/>
      <rgbColor rgb="FF993366"/>
      <rgbColor rgb="FFFFF2CC"/>
      <rgbColor rgb="FFDEEBF7"/>
      <rgbColor rgb="FF660066"/>
      <rgbColor rgb="FFFF8080"/>
      <rgbColor rgb="FF0066CC"/>
      <rgbColor rgb="FFDAE3F3"/>
      <rgbColor rgb="FF000080"/>
      <rgbColor rgb="FFFF00FF"/>
      <rgbColor rgb="FFFFFF00"/>
      <rgbColor rgb="FF00FFFF"/>
      <rgbColor rgb="FF800080"/>
      <rgbColor rgb="FF800000"/>
      <rgbColor rgb="FF008080"/>
      <rgbColor rgb="FF0000FF"/>
      <rgbColor rgb="FF00B0F0"/>
      <rgbColor rgb="FFCCFFFF"/>
      <rgbColor rgb="FFE2F0D9"/>
      <rgbColor rgb="FFFBE5D6"/>
      <rgbColor rgb="FF99CCFF"/>
      <rgbColor rgb="FFFF99CC"/>
      <rgbColor rgb="FFCC99FF"/>
      <rgbColor rgb="FFFFD9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107</xdr:col>
      <xdr:colOff>411120</xdr:colOff>
      <xdr:row>21</xdr:row>
      <xdr:rowOff>210600</xdr:rowOff>
    </xdr:from>
    <xdr:to>
      <xdr:col>107</xdr:col>
      <xdr:colOff>1303200</xdr:colOff>
      <xdr:row>22</xdr:row>
      <xdr:rowOff>320400</xdr:rowOff>
    </xdr:to>
    <xdr:sp macro="" textlink="">
      <xdr:nvSpPr>
        <xdr:cNvPr id="2" name="Oval 4">
          <a:extLst>
            <a:ext uri="{FF2B5EF4-FFF2-40B4-BE49-F238E27FC236}">
              <a16:creationId xmlns:a16="http://schemas.microsoft.com/office/drawing/2014/main" id="{00000000-0008-0000-0000-000002000000}"/>
            </a:ext>
          </a:extLst>
        </xdr:cNvPr>
        <xdr:cNvSpPr/>
      </xdr:nvSpPr>
      <xdr:spPr>
        <a:xfrm>
          <a:off x="147369960" y="11554920"/>
          <a:ext cx="892080" cy="652680"/>
        </a:xfrm>
        <a:prstGeom prst="ellipse">
          <a:avLst/>
        </a:prstGeom>
        <a:noFill/>
        <a:ln w="127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107</xdr:col>
      <xdr:colOff>397080</xdr:colOff>
      <xdr:row>14</xdr:row>
      <xdr:rowOff>529560</xdr:rowOff>
    </xdr:from>
    <xdr:to>
      <xdr:col>107</xdr:col>
      <xdr:colOff>962640</xdr:colOff>
      <xdr:row>21</xdr:row>
      <xdr:rowOff>391680</xdr:rowOff>
    </xdr:to>
    <xdr:sp macro="" textlink="">
      <xdr:nvSpPr>
        <xdr:cNvPr id="3" name="Arrow: Curved Left 7">
          <a:extLst>
            <a:ext uri="{FF2B5EF4-FFF2-40B4-BE49-F238E27FC236}">
              <a16:creationId xmlns:a16="http://schemas.microsoft.com/office/drawing/2014/main" id="{00000000-0008-0000-0000-000003000000}"/>
            </a:ext>
          </a:extLst>
        </xdr:cNvPr>
        <xdr:cNvSpPr/>
      </xdr:nvSpPr>
      <xdr:spPr>
        <a:xfrm rot="19862400">
          <a:off x="147355560" y="8073360"/>
          <a:ext cx="565560" cy="3662640"/>
        </a:xfrm>
        <a:prstGeom prst="curvedLeftArrow">
          <a:avLst>
            <a:gd name="adj1" fmla="val 25000"/>
            <a:gd name="adj2" fmla="val 50000"/>
            <a:gd name="adj3" fmla="val 25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105</xdr:col>
      <xdr:colOff>120240</xdr:colOff>
      <xdr:row>21</xdr:row>
      <xdr:rowOff>160560</xdr:rowOff>
    </xdr:from>
    <xdr:to>
      <xdr:col>105</xdr:col>
      <xdr:colOff>1312920</xdr:colOff>
      <xdr:row>22</xdr:row>
      <xdr:rowOff>50040</xdr:rowOff>
    </xdr:to>
    <xdr:sp macro="" textlink="">
      <xdr:nvSpPr>
        <xdr:cNvPr id="4" name="Oval 11">
          <a:extLst>
            <a:ext uri="{FF2B5EF4-FFF2-40B4-BE49-F238E27FC236}">
              <a16:creationId xmlns:a16="http://schemas.microsoft.com/office/drawing/2014/main" id="{00000000-0008-0000-0000-000004000000}"/>
            </a:ext>
          </a:extLst>
        </xdr:cNvPr>
        <xdr:cNvSpPr/>
      </xdr:nvSpPr>
      <xdr:spPr>
        <a:xfrm>
          <a:off x="143746560" y="11504880"/>
          <a:ext cx="1192680" cy="432360"/>
        </a:xfrm>
        <a:prstGeom prst="ellipse">
          <a:avLst/>
        </a:prstGeom>
        <a:noFill/>
        <a:ln w="127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107</xdr:col>
      <xdr:colOff>1505880</xdr:colOff>
      <xdr:row>21</xdr:row>
      <xdr:rowOff>62280</xdr:rowOff>
    </xdr:from>
    <xdr:to>
      <xdr:col>108</xdr:col>
      <xdr:colOff>1054440</xdr:colOff>
      <xdr:row>21</xdr:row>
      <xdr:rowOff>493200</xdr:rowOff>
    </xdr:to>
    <xdr:sp macro="" textlink="">
      <xdr:nvSpPr>
        <xdr:cNvPr id="5" name="Oval 12">
          <a:extLst>
            <a:ext uri="{FF2B5EF4-FFF2-40B4-BE49-F238E27FC236}">
              <a16:creationId xmlns:a16="http://schemas.microsoft.com/office/drawing/2014/main" id="{00000000-0008-0000-0000-000005000000}"/>
            </a:ext>
          </a:extLst>
        </xdr:cNvPr>
        <xdr:cNvSpPr/>
      </xdr:nvSpPr>
      <xdr:spPr>
        <a:xfrm>
          <a:off x="148464720" y="11406600"/>
          <a:ext cx="1290240" cy="430920"/>
        </a:xfrm>
        <a:prstGeom prst="ellipse">
          <a:avLst/>
        </a:prstGeom>
        <a:noFill/>
        <a:ln w="127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5</xdr:col>
      <xdr:colOff>1446120</xdr:colOff>
      <xdr:row>1</xdr:row>
      <xdr:rowOff>124200</xdr:rowOff>
    </xdr:from>
    <xdr:to>
      <xdr:col>7</xdr:col>
      <xdr:colOff>175680</xdr:colOff>
      <xdr:row>2</xdr:row>
      <xdr:rowOff>152280</xdr:rowOff>
    </xdr:to>
    <xdr:sp macro="" textlink="">
      <xdr:nvSpPr>
        <xdr:cNvPr id="6" name="Rectangle 15">
          <a:extLst>
            <a:ext uri="{FF2B5EF4-FFF2-40B4-BE49-F238E27FC236}">
              <a16:creationId xmlns:a16="http://schemas.microsoft.com/office/drawing/2014/main" id="{00000000-0008-0000-0000-000006000000}"/>
            </a:ext>
          </a:extLst>
        </xdr:cNvPr>
        <xdr:cNvSpPr/>
      </xdr:nvSpPr>
      <xdr:spPr>
        <a:xfrm>
          <a:off x="8237520" y="848160"/>
          <a:ext cx="2354040" cy="5616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xdr:from>
      <xdr:col>105</xdr:col>
      <xdr:colOff>1122840</xdr:colOff>
      <xdr:row>22</xdr:row>
      <xdr:rowOff>135720</xdr:rowOff>
    </xdr:from>
    <xdr:to>
      <xdr:col>107</xdr:col>
      <xdr:colOff>717840</xdr:colOff>
      <xdr:row>23</xdr:row>
      <xdr:rowOff>62280</xdr:rowOff>
    </xdr:to>
    <xdr:sp macro="" textlink="">
      <xdr:nvSpPr>
        <xdr:cNvPr id="7" name="Arrow: Curved Left 23">
          <a:extLst>
            <a:ext uri="{FF2B5EF4-FFF2-40B4-BE49-F238E27FC236}">
              <a16:creationId xmlns:a16="http://schemas.microsoft.com/office/drawing/2014/main" id="{00000000-0008-0000-0000-000007000000}"/>
            </a:ext>
          </a:extLst>
        </xdr:cNvPr>
        <xdr:cNvSpPr/>
      </xdr:nvSpPr>
      <xdr:spPr>
        <a:xfrm rot="5982000">
          <a:off x="145978200" y="10793880"/>
          <a:ext cx="469440" cy="2927520"/>
        </a:xfrm>
        <a:prstGeom prst="curvedLeftArrow">
          <a:avLst>
            <a:gd name="adj1" fmla="val 25000"/>
            <a:gd name="adj2" fmla="val 50000"/>
            <a:gd name="adj3" fmla="val 25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119</xdr:col>
      <xdr:colOff>136080</xdr:colOff>
      <xdr:row>60</xdr:row>
      <xdr:rowOff>108720</xdr:rowOff>
    </xdr:from>
    <xdr:to>
      <xdr:col>119</xdr:col>
      <xdr:colOff>543960</xdr:colOff>
      <xdr:row>60</xdr:row>
      <xdr:rowOff>489240</xdr:rowOff>
    </xdr:to>
    <xdr:sp macro="" textlink="">
      <xdr:nvSpPr>
        <xdr:cNvPr id="8" name="Arrow: Right 1">
          <a:extLst>
            <a:ext uri="{FF2B5EF4-FFF2-40B4-BE49-F238E27FC236}">
              <a16:creationId xmlns:a16="http://schemas.microsoft.com/office/drawing/2014/main" id="{00000000-0008-0000-0000-000008000000}"/>
            </a:ext>
          </a:extLst>
        </xdr:cNvPr>
        <xdr:cNvSpPr/>
      </xdr:nvSpPr>
      <xdr:spPr>
        <a:xfrm>
          <a:off x="164845440" y="32627160"/>
          <a:ext cx="407880" cy="380520"/>
        </a:xfrm>
        <a:prstGeom prst="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121</xdr:col>
      <xdr:colOff>122400</xdr:colOff>
      <xdr:row>60</xdr:row>
      <xdr:rowOff>81720</xdr:rowOff>
    </xdr:from>
    <xdr:to>
      <xdr:col>121</xdr:col>
      <xdr:colOff>530280</xdr:colOff>
      <xdr:row>60</xdr:row>
      <xdr:rowOff>462240</xdr:rowOff>
    </xdr:to>
    <xdr:sp macro="" textlink="">
      <xdr:nvSpPr>
        <xdr:cNvPr id="9" name="Arrow: Right 13">
          <a:extLst>
            <a:ext uri="{FF2B5EF4-FFF2-40B4-BE49-F238E27FC236}">
              <a16:creationId xmlns:a16="http://schemas.microsoft.com/office/drawing/2014/main" id="{00000000-0008-0000-0000-000009000000}"/>
            </a:ext>
          </a:extLst>
        </xdr:cNvPr>
        <xdr:cNvSpPr/>
      </xdr:nvSpPr>
      <xdr:spPr>
        <a:xfrm>
          <a:off x="166815000" y="32600160"/>
          <a:ext cx="407880" cy="380520"/>
        </a:xfrm>
        <a:prstGeom prst="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11</xdr:col>
      <xdr:colOff>408240</xdr:colOff>
      <xdr:row>1</xdr:row>
      <xdr:rowOff>108720</xdr:rowOff>
    </xdr:from>
    <xdr:to>
      <xdr:col>11</xdr:col>
      <xdr:colOff>734400</xdr:colOff>
      <xdr:row>1</xdr:row>
      <xdr:rowOff>407880</xdr:rowOff>
    </xdr:to>
    <xdr:sp macro="" textlink="">
      <xdr:nvSpPr>
        <xdr:cNvPr id="10" name="Arrow: Right 2">
          <a:extLst>
            <a:ext uri="{FF2B5EF4-FFF2-40B4-BE49-F238E27FC236}">
              <a16:creationId xmlns:a16="http://schemas.microsoft.com/office/drawing/2014/main" id="{00000000-0008-0000-0000-00000A000000}"/>
            </a:ext>
          </a:extLst>
        </xdr:cNvPr>
        <xdr:cNvSpPr/>
      </xdr:nvSpPr>
      <xdr:spPr>
        <a:xfrm>
          <a:off x="18073440" y="832680"/>
          <a:ext cx="326160" cy="299160"/>
        </a:xfrm>
        <a:prstGeom prst="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20</xdr:col>
      <xdr:colOff>478800</xdr:colOff>
      <xdr:row>1</xdr:row>
      <xdr:rowOff>138960</xdr:rowOff>
    </xdr:from>
    <xdr:to>
      <xdr:col>20</xdr:col>
      <xdr:colOff>804960</xdr:colOff>
      <xdr:row>1</xdr:row>
      <xdr:rowOff>438120</xdr:rowOff>
    </xdr:to>
    <xdr:sp macro="" textlink="">
      <xdr:nvSpPr>
        <xdr:cNvPr id="11" name="Arrow: Right 16">
          <a:extLst>
            <a:ext uri="{FF2B5EF4-FFF2-40B4-BE49-F238E27FC236}">
              <a16:creationId xmlns:a16="http://schemas.microsoft.com/office/drawing/2014/main" id="{00000000-0008-0000-0000-00000B000000}"/>
            </a:ext>
          </a:extLst>
        </xdr:cNvPr>
        <xdr:cNvSpPr/>
      </xdr:nvSpPr>
      <xdr:spPr>
        <a:xfrm>
          <a:off x="36589320" y="862920"/>
          <a:ext cx="326160" cy="299160"/>
        </a:xfrm>
        <a:prstGeom prst="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103</xdr:col>
      <xdr:colOff>1080360</xdr:colOff>
      <xdr:row>1</xdr:row>
      <xdr:rowOff>100800</xdr:rowOff>
    </xdr:from>
    <xdr:to>
      <xdr:col>104</xdr:col>
      <xdr:colOff>181800</xdr:colOff>
      <xdr:row>1</xdr:row>
      <xdr:rowOff>399960</xdr:rowOff>
    </xdr:to>
    <xdr:sp macro="" textlink="">
      <xdr:nvSpPr>
        <xdr:cNvPr id="12" name="Arrow: Right 22">
          <a:extLst>
            <a:ext uri="{FF2B5EF4-FFF2-40B4-BE49-F238E27FC236}">
              <a16:creationId xmlns:a16="http://schemas.microsoft.com/office/drawing/2014/main" id="{00000000-0008-0000-0000-00000C000000}"/>
            </a:ext>
          </a:extLst>
        </xdr:cNvPr>
        <xdr:cNvSpPr/>
      </xdr:nvSpPr>
      <xdr:spPr>
        <a:xfrm>
          <a:off x="142239600" y="824760"/>
          <a:ext cx="390600" cy="299160"/>
        </a:xfrm>
        <a:prstGeom prst="right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5</xdr:col>
      <xdr:colOff>790920</xdr:colOff>
      <xdr:row>4</xdr:row>
      <xdr:rowOff>144720</xdr:rowOff>
    </xdr:from>
    <xdr:to>
      <xdr:col>5</xdr:col>
      <xdr:colOff>1037160</xdr:colOff>
      <xdr:row>4</xdr:row>
      <xdr:rowOff>322920</xdr:rowOff>
    </xdr:to>
    <xdr:sp macro="" textlink="">
      <xdr:nvSpPr>
        <xdr:cNvPr id="13" name="Arrow: Down 3">
          <a:extLst>
            <a:ext uri="{FF2B5EF4-FFF2-40B4-BE49-F238E27FC236}">
              <a16:creationId xmlns:a16="http://schemas.microsoft.com/office/drawing/2014/main" id="{00000000-0008-0000-0000-00000D000000}"/>
            </a:ext>
          </a:extLst>
        </xdr:cNvPr>
        <xdr:cNvSpPr/>
      </xdr:nvSpPr>
      <xdr:spPr>
        <a:xfrm>
          <a:off x="7582320" y="2335320"/>
          <a:ext cx="246240" cy="178200"/>
        </a:xfrm>
        <a:prstGeom prst="down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18</xdr:col>
      <xdr:colOff>262800</xdr:colOff>
      <xdr:row>4</xdr:row>
      <xdr:rowOff>101520</xdr:rowOff>
    </xdr:from>
    <xdr:to>
      <xdr:col>18</xdr:col>
      <xdr:colOff>509040</xdr:colOff>
      <xdr:row>4</xdr:row>
      <xdr:rowOff>279720</xdr:rowOff>
    </xdr:to>
    <xdr:sp macro="" textlink="">
      <xdr:nvSpPr>
        <xdr:cNvPr id="14" name="Arrow: Down 24">
          <a:extLst>
            <a:ext uri="{FF2B5EF4-FFF2-40B4-BE49-F238E27FC236}">
              <a16:creationId xmlns:a16="http://schemas.microsoft.com/office/drawing/2014/main" id="{00000000-0008-0000-0000-00000E000000}"/>
            </a:ext>
          </a:extLst>
        </xdr:cNvPr>
        <xdr:cNvSpPr/>
      </xdr:nvSpPr>
      <xdr:spPr>
        <a:xfrm>
          <a:off x="30412440" y="2292120"/>
          <a:ext cx="246240" cy="178200"/>
        </a:xfrm>
        <a:prstGeom prst="downArrow">
          <a:avLst>
            <a:gd name="adj1" fmla="val 50000"/>
            <a:gd name="adj2" fmla="val 50000"/>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S87"/>
  <sheetViews>
    <sheetView tabSelected="1" topLeftCell="AG2" zoomScale="56" zoomScaleNormal="56" workbookViewId="0">
      <selection activeCell="AM4" sqref="AM4"/>
    </sheetView>
  </sheetViews>
  <sheetFormatPr defaultColWidth="8.6640625" defaultRowHeight="14.4" x14ac:dyDescent="0.3"/>
  <cols>
    <col min="1" max="1" width="6.109375" customWidth="1"/>
    <col min="4" max="4" width="47.109375" customWidth="1"/>
    <col min="5" max="11" width="25.6640625" customWidth="1"/>
    <col min="12" max="12" width="16.6640625" customWidth="1"/>
    <col min="13" max="13" width="14.6640625" customWidth="1"/>
    <col min="14" max="14" width="38" customWidth="1"/>
    <col min="16" max="16" width="10.5546875" customWidth="1"/>
    <col min="17" max="17" width="21.6640625" customWidth="1"/>
    <col min="18" max="18" width="66.6640625" customWidth="1"/>
    <col min="19" max="19" width="10.6640625" customWidth="1"/>
    <col min="20" max="20" width="73.88671875" customWidth="1"/>
    <col min="21" max="21" width="16.6640625" customWidth="1"/>
    <col min="24" max="24" width="19" customWidth="1"/>
    <col min="25" max="25" width="9.109375" customWidth="1"/>
    <col min="26" max="26" width="10.6640625" customWidth="1"/>
    <col min="27" max="27" width="14.6640625" customWidth="1"/>
    <col min="28" max="28" width="35.6640625" customWidth="1"/>
    <col min="29" max="30" width="10.6640625" customWidth="1"/>
    <col min="31" max="35" width="25.6640625" customWidth="1"/>
    <col min="36" max="38" width="10.6640625" customWidth="1"/>
    <col min="39" max="39" width="13.6640625" customWidth="1"/>
    <col min="40" max="40" width="12.6640625" customWidth="1"/>
    <col min="41" max="41" width="10.6640625" customWidth="1"/>
    <col min="42" max="42" width="14.6640625" customWidth="1"/>
    <col min="43" max="43" width="44.6640625" customWidth="1"/>
    <col min="44" max="45" width="10.6640625" customWidth="1"/>
    <col min="46" max="50" width="25.6640625" customWidth="1"/>
    <col min="51" max="53" width="10.6640625" customWidth="1"/>
    <col min="54" max="54" width="13.6640625" customWidth="1"/>
    <col min="55" max="55" width="12.6640625" customWidth="1"/>
    <col min="56" max="56" width="10.6640625" customWidth="1"/>
    <col min="57" max="57" width="14.6640625" customWidth="1"/>
    <col min="58" max="58" width="44.6640625" customWidth="1"/>
    <col min="59" max="60" width="10.6640625" customWidth="1"/>
    <col min="61" max="65" width="25.6640625" customWidth="1"/>
    <col min="66" max="68" width="10.6640625" customWidth="1"/>
    <col min="69" max="69" width="13.6640625" customWidth="1"/>
    <col min="70" max="70" width="12.6640625" customWidth="1"/>
    <col min="71" max="71" width="10.6640625" customWidth="1"/>
    <col min="72" max="72" width="14.6640625" customWidth="1"/>
    <col min="73" max="73" width="44.6640625" customWidth="1"/>
    <col min="74" max="75" width="10.6640625" customWidth="1"/>
    <col min="76" max="80" width="25.6640625" customWidth="1"/>
    <col min="81" max="83" width="10.6640625" customWidth="1"/>
    <col min="84" max="84" width="13.6640625" customWidth="1"/>
    <col min="85" max="85" width="12.6640625" customWidth="1"/>
    <col min="86" max="86" width="10.6640625" customWidth="1"/>
    <col min="87" max="87" width="14.6640625" customWidth="1"/>
    <col min="88" max="88" width="44.6640625" customWidth="1"/>
    <col min="89" max="90" width="10.6640625" customWidth="1"/>
    <col min="91" max="95" width="25.6640625" customWidth="1"/>
    <col min="96" max="98" width="10.6640625" customWidth="1"/>
    <col min="99" max="99" width="13.6640625" customWidth="1"/>
    <col min="100" max="102" width="12.6640625" customWidth="1"/>
    <col min="103" max="104" width="18.33203125" customWidth="1"/>
    <col min="105" max="105" width="16.6640625" customWidth="1"/>
    <col min="106" max="106" width="22.5546875" customWidth="1"/>
    <col min="107" max="108" width="24.6640625" customWidth="1"/>
    <col min="109" max="109" width="30.33203125" customWidth="1"/>
    <col min="110" max="110" width="23.33203125" customWidth="1"/>
    <col min="111" max="113" width="10.6640625" customWidth="1"/>
    <col min="114" max="114" width="22.88671875" customWidth="1"/>
    <col min="115" max="119" width="23.6640625" customWidth="1"/>
    <col min="120" max="120" width="9.5546875" customWidth="1"/>
    <col min="121" max="121" width="18.5546875" customWidth="1"/>
    <col min="123" max="123" width="22.88671875" customWidth="1"/>
  </cols>
  <sheetData>
    <row r="1" spans="2:110" ht="57" customHeight="1" x14ac:dyDescent="0.3">
      <c r="B1" s="15" t="s">
        <v>0</v>
      </c>
    </row>
    <row r="2" spans="2:110" ht="42" customHeight="1" x14ac:dyDescent="0.3">
      <c r="B2" s="14" t="s">
        <v>1</v>
      </c>
      <c r="C2" s="14"/>
      <c r="D2" s="14"/>
      <c r="E2" s="14"/>
      <c r="F2" s="14"/>
      <c r="G2" s="14"/>
      <c r="H2" s="14"/>
      <c r="I2" s="14"/>
      <c r="J2" s="14"/>
      <c r="K2" s="14"/>
      <c r="M2" s="14" t="s">
        <v>2</v>
      </c>
      <c r="N2" s="14"/>
      <c r="O2" s="14"/>
      <c r="P2" s="14"/>
      <c r="Q2" s="14"/>
      <c r="R2" s="14"/>
      <c r="S2" s="14"/>
      <c r="T2" s="14"/>
      <c r="V2" s="13" t="s">
        <v>3</v>
      </c>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DB2" s="14" t="s">
        <v>4</v>
      </c>
      <c r="DC2" s="14"/>
      <c r="DD2" s="14"/>
      <c r="DE2" s="14"/>
      <c r="DF2" s="14"/>
    </row>
    <row r="3" spans="2:110" ht="36.75" customHeight="1" x14ac:dyDescent="0.5">
      <c r="B3" s="12" t="s">
        <v>5</v>
      </c>
      <c r="C3" s="12"/>
      <c r="D3" s="12"/>
      <c r="E3" s="12"/>
      <c r="F3" s="12"/>
      <c r="G3" s="12"/>
      <c r="H3" s="12"/>
      <c r="M3" s="12" t="s">
        <v>6</v>
      </c>
      <c r="N3" s="12"/>
      <c r="O3" s="12"/>
      <c r="P3" s="12"/>
      <c r="Q3" s="12"/>
      <c r="R3" s="12"/>
      <c r="V3" s="11"/>
      <c r="W3" s="11"/>
      <c r="X3" s="11"/>
      <c r="Y3" s="11"/>
      <c r="Z3" s="11"/>
      <c r="AA3" s="11"/>
      <c r="AB3" s="11"/>
    </row>
    <row r="4" spans="2:110" ht="36.75" customHeight="1" x14ac:dyDescent="0.55000000000000004">
      <c r="B4" s="10" t="s">
        <v>7</v>
      </c>
      <c r="C4" s="10"/>
      <c r="D4" s="10"/>
      <c r="E4" s="10"/>
      <c r="F4" s="10"/>
      <c r="G4" s="10"/>
      <c r="H4" s="16"/>
      <c r="V4" s="17"/>
      <c r="W4" s="17"/>
      <c r="X4" s="17"/>
      <c r="Y4" s="17"/>
      <c r="Z4" s="17"/>
      <c r="AA4" s="17"/>
      <c r="AB4" s="17"/>
      <c r="AC4" s="17"/>
      <c r="AD4" s="17"/>
      <c r="AE4" s="9" t="s">
        <v>8</v>
      </c>
      <c r="AF4" s="9"/>
      <c r="AG4" s="9"/>
      <c r="AH4" s="9"/>
      <c r="AI4" s="9"/>
      <c r="AJ4" s="9"/>
      <c r="AT4" s="9" t="s">
        <v>9</v>
      </c>
      <c r="AU4" s="9"/>
      <c r="AV4" s="9"/>
      <c r="AW4" s="9"/>
      <c r="AX4" s="9"/>
      <c r="AY4" s="9"/>
      <c r="BI4" s="9" t="s">
        <v>10</v>
      </c>
      <c r="BJ4" s="9"/>
      <c r="BK4" s="9"/>
      <c r="BL4" s="9"/>
      <c r="BM4" s="9"/>
      <c r="BN4" s="9"/>
      <c r="BX4" s="9" t="s">
        <v>11</v>
      </c>
      <c r="BY4" s="9"/>
      <c r="BZ4" s="9"/>
      <c r="CA4" s="9"/>
      <c r="CB4" s="9"/>
      <c r="CC4" s="9"/>
      <c r="CM4" s="9" t="s">
        <v>12</v>
      </c>
      <c r="CN4" s="9"/>
      <c r="CO4" s="9"/>
      <c r="CP4" s="9"/>
      <c r="CQ4" s="9"/>
      <c r="CR4" s="9"/>
    </row>
    <row r="5" spans="2:110" ht="36.75" customHeight="1" x14ac:dyDescent="0.45">
      <c r="D5" t="s">
        <v>13</v>
      </c>
      <c r="V5" s="18"/>
    </row>
    <row r="6" spans="2:110" ht="42.75" customHeight="1" x14ac:dyDescent="0.4">
      <c r="E6" s="19" t="s">
        <v>14</v>
      </c>
      <c r="F6" s="20" t="s">
        <v>15</v>
      </c>
      <c r="G6" s="20" t="s">
        <v>16</v>
      </c>
      <c r="H6" s="20" t="s">
        <v>17</v>
      </c>
      <c r="I6" s="20" t="s">
        <v>18</v>
      </c>
      <c r="J6" s="20" t="s">
        <v>19</v>
      </c>
      <c r="K6" s="21" t="s">
        <v>20</v>
      </c>
      <c r="M6" s="8" t="s">
        <v>21</v>
      </c>
      <c r="N6" s="7" t="s">
        <v>22</v>
      </c>
      <c r="O6" s="6" t="s">
        <v>23</v>
      </c>
      <c r="P6" s="5" t="s">
        <v>24</v>
      </c>
      <c r="Q6" s="5" t="s">
        <v>25</v>
      </c>
      <c r="R6" s="4" t="s">
        <v>26</v>
      </c>
      <c r="S6" s="3" t="s">
        <v>27</v>
      </c>
      <c r="T6" s="8" t="s">
        <v>28</v>
      </c>
      <c r="Z6" s="2" t="s">
        <v>29</v>
      </c>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2" t="s">
        <v>30</v>
      </c>
      <c r="CX6" s="23" t="s">
        <v>31</v>
      </c>
      <c r="CY6" s="24" t="s">
        <v>32</v>
      </c>
      <c r="CZ6" s="25" t="s">
        <v>33</v>
      </c>
      <c r="DB6" s="1" t="s">
        <v>34</v>
      </c>
      <c r="DC6" s="1"/>
      <c r="DD6" s="1"/>
      <c r="DE6" s="1"/>
      <c r="DF6" s="1"/>
    </row>
    <row r="7" spans="2:110" ht="42.75" customHeight="1" x14ac:dyDescent="0.3">
      <c r="B7" s="294" t="s">
        <v>21</v>
      </c>
      <c r="C7" s="26" t="s">
        <v>35</v>
      </c>
      <c r="D7" s="27" t="s">
        <v>36</v>
      </c>
      <c r="E7" s="28">
        <v>0.3</v>
      </c>
      <c r="F7" s="28">
        <v>0.28000000000000003</v>
      </c>
      <c r="G7" s="28">
        <v>0.32</v>
      </c>
      <c r="H7" s="28">
        <v>0.25</v>
      </c>
      <c r="I7" s="28">
        <v>0.22</v>
      </c>
      <c r="J7" s="28">
        <v>0.25</v>
      </c>
      <c r="K7" s="29">
        <v>0.35</v>
      </c>
      <c r="M7" s="8"/>
      <c r="N7" s="7"/>
      <c r="O7" s="6"/>
      <c r="P7" s="5"/>
      <c r="Q7" s="5"/>
      <c r="R7" s="4"/>
      <c r="S7" s="3"/>
      <c r="T7" s="8"/>
      <c r="Z7" s="295" t="s">
        <v>37</v>
      </c>
      <c r="AA7" s="295"/>
      <c r="AB7" s="295"/>
      <c r="AC7" s="295"/>
      <c r="AD7" s="295"/>
      <c r="AE7" s="295"/>
      <c r="AF7" s="295"/>
      <c r="AG7" s="295"/>
      <c r="AH7" s="295"/>
      <c r="AI7" s="295"/>
      <c r="AJ7" s="295"/>
      <c r="AK7" s="295"/>
      <c r="AL7" s="295"/>
      <c r="AM7" s="30" t="s">
        <v>38</v>
      </c>
      <c r="AN7" s="31">
        <v>0.3</v>
      </c>
      <c r="AO7" s="295" t="s">
        <v>39</v>
      </c>
      <c r="AP7" s="295"/>
      <c r="AQ7" s="295"/>
      <c r="AR7" s="295"/>
      <c r="AS7" s="295"/>
      <c r="AT7" s="295"/>
      <c r="AU7" s="295"/>
      <c r="AV7" s="295"/>
      <c r="AW7" s="295"/>
      <c r="AX7" s="295"/>
      <c r="AY7" s="295"/>
      <c r="AZ7" s="295"/>
      <c r="BA7" s="295"/>
      <c r="BB7" s="30" t="s">
        <v>38</v>
      </c>
      <c r="BC7" s="31">
        <v>0.25</v>
      </c>
      <c r="BD7" s="295" t="s">
        <v>40</v>
      </c>
      <c r="BE7" s="295"/>
      <c r="BF7" s="295"/>
      <c r="BG7" s="295"/>
      <c r="BH7" s="295"/>
      <c r="BI7" s="295"/>
      <c r="BJ7" s="295"/>
      <c r="BK7" s="295"/>
      <c r="BL7" s="295"/>
      <c r="BM7" s="295"/>
      <c r="BN7" s="295"/>
      <c r="BO7" s="295"/>
      <c r="BP7" s="295"/>
      <c r="BQ7" s="30" t="s">
        <v>38</v>
      </c>
      <c r="BR7" s="31">
        <v>0.18</v>
      </c>
      <c r="BS7" s="296" t="s">
        <v>41</v>
      </c>
      <c r="BT7" s="296"/>
      <c r="BU7" s="296"/>
      <c r="BV7" s="296"/>
      <c r="BW7" s="296"/>
      <c r="BX7" s="296"/>
      <c r="BY7" s="296"/>
      <c r="BZ7" s="296"/>
      <c r="CA7" s="296"/>
      <c r="CB7" s="296"/>
      <c r="CC7" s="296"/>
      <c r="CD7" s="296"/>
      <c r="CE7" s="296"/>
      <c r="CF7" s="30" t="s">
        <v>38</v>
      </c>
      <c r="CG7" s="31">
        <v>0.12</v>
      </c>
      <c r="CH7" s="296" t="s">
        <v>42</v>
      </c>
      <c r="CI7" s="296"/>
      <c r="CJ7" s="296"/>
      <c r="CK7" s="296"/>
      <c r="CL7" s="296"/>
      <c r="CM7" s="296"/>
      <c r="CN7" s="296"/>
      <c r="CO7" s="296"/>
      <c r="CP7" s="296"/>
      <c r="CQ7" s="296"/>
      <c r="CR7" s="296"/>
      <c r="CS7" s="296"/>
      <c r="CT7" s="296"/>
      <c r="CU7" s="30" t="s">
        <v>38</v>
      </c>
      <c r="CV7" s="32">
        <v>0.15</v>
      </c>
      <c r="CW7" s="297" t="s">
        <v>43</v>
      </c>
      <c r="CX7" s="298" t="s">
        <v>44</v>
      </c>
      <c r="CY7" s="299" t="s">
        <v>45</v>
      </c>
      <c r="CZ7" s="33">
        <f>ABS(AN7+BC7+BR7+CG7+CV7)</f>
        <v>1</v>
      </c>
      <c r="DB7" s="300" t="s">
        <v>46</v>
      </c>
      <c r="DC7" s="301" t="s">
        <v>47</v>
      </c>
      <c r="DD7" s="301" t="s">
        <v>48</v>
      </c>
      <c r="DE7" s="301" t="s">
        <v>49</v>
      </c>
      <c r="DF7" s="302" t="s">
        <v>50</v>
      </c>
    </row>
    <row r="8" spans="2:110" ht="42.75" customHeight="1" x14ac:dyDescent="0.3">
      <c r="B8" s="294"/>
      <c r="C8" s="34" t="s">
        <v>51</v>
      </c>
      <c r="D8" s="35" t="s">
        <v>52</v>
      </c>
      <c r="E8" s="28">
        <v>0.2</v>
      </c>
      <c r="F8" s="28">
        <v>0.22</v>
      </c>
      <c r="G8" s="28">
        <v>0.2</v>
      </c>
      <c r="H8" s="28">
        <v>0.2</v>
      </c>
      <c r="I8" s="28">
        <v>0.18</v>
      </c>
      <c r="J8" s="28">
        <v>0.2</v>
      </c>
      <c r="K8" s="29">
        <v>0.18</v>
      </c>
      <c r="M8" s="303" t="s">
        <v>53</v>
      </c>
      <c r="N8" s="304" t="s">
        <v>54</v>
      </c>
      <c r="O8" s="36">
        <v>1</v>
      </c>
      <c r="P8" s="37" t="s">
        <v>55</v>
      </c>
      <c r="Q8" s="38" t="s">
        <v>56</v>
      </c>
      <c r="R8" s="39" t="s">
        <v>57</v>
      </c>
      <c r="S8" s="40">
        <v>0.7</v>
      </c>
      <c r="T8" s="41" t="s">
        <v>58</v>
      </c>
      <c r="V8" s="305" t="s">
        <v>59</v>
      </c>
      <c r="W8" s="305"/>
      <c r="X8" s="305"/>
      <c r="Y8" s="42" t="s">
        <v>60</v>
      </c>
      <c r="Z8" s="306" t="s">
        <v>61</v>
      </c>
      <c r="AA8" s="306"/>
      <c r="AB8" s="306"/>
      <c r="AC8" s="306"/>
      <c r="AD8" s="306"/>
      <c r="AE8" s="307" t="s">
        <v>62</v>
      </c>
      <c r="AF8" s="307"/>
      <c r="AG8" s="307"/>
      <c r="AH8" s="307"/>
      <c r="AI8" s="307"/>
      <c r="AJ8" s="308" t="s">
        <v>63</v>
      </c>
      <c r="AK8" s="308" t="s">
        <v>64</v>
      </c>
      <c r="AL8" s="309" t="s">
        <v>65</v>
      </c>
      <c r="AM8" s="310" t="s">
        <v>66</v>
      </c>
      <c r="AN8" s="311" t="s">
        <v>67</v>
      </c>
      <c r="AO8" s="306" t="s">
        <v>61</v>
      </c>
      <c r="AP8" s="306"/>
      <c r="AQ8" s="306"/>
      <c r="AR8" s="306"/>
      <c r="AS8" s="306"/>
      <c r="AT8" s="307" t="s">
        <v>62</v>
      </c>
      <c r="AU8" s="307"/>
      <c r="AV8" s="307"/>
      <c r="AW8" s="307"/>
      <c r="AX8" s="307"/>
      <c r="AY8" s="308" t="s">
        <v>63</v>
      </c>
      <c r="AZ8" s="308" t="s">
        <v>64</v>
      </c>
      <c r="BA8" s="309" t="s">
        <v>65</v>
      </c>
      <c r="BB8" s="310" t="s">
        <v>66</v>
      </c>
      <c r="BC8" s="311" t="s">
        <v>67</v>
      </c>
      <c r="BD8" s="306" t="s">
        <v>61</v>
      </c>
      <c r="BE8" s="306"/>
      <c r="BF8" s="306"/>
      <c r="BG8" s="306"/>
      <c r="BH8" s="306"/>
      <c r="BI8" s="307" t="s">
        <v>62</v>
      </c>
      <c r="BJ8" s="307"/>
      <c r="BK8" s="307"/>
      <c r="BL8" s="307"/>
      <c r="BM8" s="307"/>
      <c r="BN8" s="308" t="s">
        <v>63</v>
      </c>
      <c r="BO8" s="308" t="s">
        <v>64</v>
      </c>
      <c r="BP8" s="309" t="s">
        <v>65</v>
      </c>
      <c r="BQ8" s="310" t="s">
        <v>66</v>
      </c>
      <c r="BR8" s="311" t="s">
        <v>67</v>
      </c>
      <c r="BS8" s="306" t="s">
        <v>61</v>
      </c>
      <c r="BT8" s="306"/>
      <c r="BU8" s="306"/>
      <c r="BV8" s="306"/>
      <c r="BW8" s="306"/>
      <c r="BX8" s="307" t="s">
        <v>62</v>
      </c>
      <c r="BY8" s="307"/>
      <c r="BZ8" s="307"/>
      <c r="CA8" s="307"/>
      <c r="CB8" s="307"/>
      <c r="CC8" s="308" t="s">
        <v>63</v>
      </c>
      <c r="CD8" s="308" t="s">
        <v>64</v>
      </c>
      <c r="CE8" s="309" t="s">
        <v>65</v>
      </c>
      <c r="CF8" s="310" t="s">
        <v>66</v>
      </c>
      <c r="CG8" s="311" t="s">
        <v>67</v>
      </c>
      <c r="CH8" s="306" t="s">
        <v>61</v>
      </c>
      <c r="CI8" s="306"/>
      <c r="CJ8" s="306"/>
      <c r="CK8" s="306"/>
      <c r="CL8" s="306"/>
      <c r="CM8" s="307" t="s">
        <v>62</v>
      </c>
      <c r="CN8" s="307"/>
      <c r="CO8" s="307"/>
      <c r="CP8" s="307"/>
      <c r="CQ8" s="307"/>
      <c r="CR8" s="308" t="s">
        <v>63</v>
      </c>
      <c r="CS8" s="308" t="s">
        <v>64</v>
      </c>
      <c r="CT8" s="309" t="s">
        <v>65</v>
      </c>
      <c r="CU8" s="310" t="s">
        <v>66</v>
      </c>
      <c r="CV8" s="311" t="s">
        <v>67</v>
      </c>
      <c r="CW8" s="297"/>
      <c r="CX8" s="298"/>
      <c r="CY8" s="299"/>
      <c r="CZ8" s="43"/>
      <c r="DB8" s="300"/>
      <c r="DC8" s="301"/>
      <c r="DD8" s="301"/>
      <c r="DE8" s="301"/>
      <c r="DF8" s="302"/>
    </row>
    <row r="9" spans="2:110" ht="42.75" customHeight="1" x14ac:dyDescent="0.3">
      <c r="B9" s="294"/>
      <c r="C9" s="34" t="s">
        <v>68</v>
      </c>
      <c r="D9" s="35" t="s">
        <v>69</v>
      </c>
      <c r="E9" s="28">
        <v>0.18</v>
      </c>
      <c r="F9" s="28">
        <v>0.18</v>
      </c>
      <c r="G9" s="28">
        <v>0.16</v>
      </c>
      <c r="H9" s="28">
        <v>0.22</v>
      </c>
      <c r="I9" s="28">
        <v>0.2</v>
      </c>
      <c r="J9" s="28">
        <v>0.2</v>
      </c>
      <c r="K9" s="29">
        <v>0.17</v>
      </c>
      <c r="M9" s="303"/>
      <c r="N9" s="304"/>
      <c r="O9" s="44">
        <v>2</v>
      </c>
      <c r="P9" s="45" t="s">
        <v>70</v>
      </c>
      <c r="Q9" s="46" t="s">
        <v>71</v>
      </c>
      <c r="R9" s="47" t="s">
        <v>72</v>
      </c>
      <c r="S9" s="48">
        <v>0.3</v>
      </c>
      <c r="T9" s="49" t="s">
        <v>73</v>
      </c>
      <c r="V9" s="312" t="s">
        <v>74</v>
      </c>
      <c r="W9" s="312"/>
      <c r="X9" s="312"/>
      <c r="Y9" s="50">
        <v>0.28000000000000003</v>
      </c>
      <c r="Z9" s="51" t="s">
        <v>75</v>
      </c>
      <c r="AA9" s="313" t="s">
        <v>76</v>
      </c>
      <c r="AB9" s="313"/>
      <c r="AC9" s="52" t="s">
        <v>77</v>
      </c>
      <c r="AD9" s="53" t="s">
        <v>78</v>
      </c>
      <c r="AE9" s="54" t="s">
        <v>79</v>
      </c>
      <c r="AF9" s="54" t="s">
        <v>80</v>
      </c>
      <c r="AG9" s="54" t="s">
        <v>81</v>
      </c>
      <c r="AH9" s="54" t="s">
        <v>82</v>
      </c>
      <c r="AI9" s="54" t="s">
        <v>83</v>
      </c>
      <c r="AJ9" s="308"/>
      <c r="AK9" s="308"/>
      <c r="AL9" s="309"/>
      <c r="AM9" s="310"/>
      <c r="AN9" s="311"/>
      <c r="AO9" s="51" t="s">
        <v>75</v>
      </c>
      <c r="AP9" s="313" t="s">
        <v>76</v>
      </c>
      <c r="AQ9" s="313"/>
      <c r="AR9" s="52" t="s">
        <v>77</v>
      </c>
      <c r="AS9" s="53" t="s">
        <v>78</v>
      </c>
      <c r="AT9" s="54" t="s">
        <v>79</v>
      </c>
      <c r="AU9" s="54" t="s">
        <v>80</v>
      </c>
      <c r="AV9" s="54" t="s">
        <v>81</v>
      </c>
      <c r="AW9" s="54" t="s">
        <v>82</v>
      </c>
      <c r="AX9" s="54" t="s">
        <v>83</v>
      </c>
      <c r="AY9" s="308"/>
      <c r="AZ9" s="308"/>
      <c r="BA9" s="309"/>
      <c r="BB9" s="310"/>
      <c r="BC9" s="311"/>
      <c r="BD9" s="51" t="s">
        <v>75</v>
      </c>
      <c r="BE9" s="313" t="s">
        <v>76</v>
      </c>
      <c r="BF9" s="313"/>
      <c r="BG9" s="52" t="s">
        <v>77</v>
      </c>
      <c r="BH9" s="53" t="s">
        <v>78</v>
      </c>
      <c r="BI9" s="54" t="s">
        <v>79</v>
      </c>
      <c r="BJ9" s="54" t="s">
        <v>80</v>
      </c>
      <c r="BK9" s="54" t="s">
        <v>81</v>
      </c>
      <c r="BL9" s="54" t="s">
        <v>82</v>
      </c>
      <c r="BM9" s="54" t="s">
        <v>83</v>
      </c>
      <c r="BN9" s="308"/>
      <c r="BO9" s="308"/>
      <c r="BP9" s="309"/>
      <c r="BQ9" s="310"/>
      <c r="BR9" s="311"/>
      <c r="BS9" s="51" t="s">
        <v>75</v>
      </c>
      <c r="BT9" s="313" t="s">
        <v>76</v>
      </c>
      <c r="BU9" s="313"/>
      <c r="BV9" s="52" t="s">
        <v>77</v>
      </c>
      <c r="BW9" s="53" t="s">
        <v>78</v>
      </c>
      <c r="BX9" s="54" t="s">
        <v>79</v>
      </c>
      <c r="BY9" s="54" t="s">
        <v>80</v>
      </c>
      <c r="BZ9" s="54" t="s">
        <v>81</v>
      </c>
      <c r="CA9" s="54" t="s">
        <v>82</v>
      </c>
      <c r="CB9" s="54" t="s">
        <v>83</v>
      </c>
      <c r="CC9" s="308"/>
      <c r="CD9" s="308"/>
      <c r="CE9" s="309"/>
      <c r="CF9" s="310"/>
      <c r="CG9" s="311"/>
      <c r="CH9" s="51" t="s">
        <v>75</v>
      </c>
      <c r="CI9" s="313" t="s">
        <v>76</v>
      </c>
      <c r="CJ9" s="313"/>
      <c r="CK9" s="52" t="s">
        <v>77</v>
      </c>
      <c r="CL9" s="53" t="s">
        <v>78</v>
      </c>
      <c r="CM9" s="54" t="s">
        <v>79</v>
      </c>
      <c r="CN9" s="54" t="s">
        <v>80</v>
      </c>
      <c r="CO9" s="54" t="s">
        <v>81</v>
      </c>
      <c r="CP9" s="54" t="s">
        <v>82</v>
      </c>
      <c r="CQ9" s="54" t="s">
        <v>83</v>
      </c>
      <c r="CR9" s="308"/>
      <c r="CS9" s="308"/>
      <c r="CT9" s="309"/>
      <c r="CU9" s="310"/>
      <c r="CV9" s="311"/>
      <c r="CW9" s="297"/>
      <c r="CX9" s="298"/>
      <c r="CY9" s="299"/>
      <c r="CZ9" s="43"/>
      <c r="DB9" s="300"/>
      <c r="DC9" s="301"/>
      <c r="DD9" s="301"/>
      <c r="DE9" s="301"/>
      <c r="DF9" s="302"/>
    </row>
    <row r="10" spans="2:110" ht="42.75" customHeight="1" x14ac:dyDescent="0.3">
      <c r="B10" s="294"/>
      <c r="C10" s="34" t="s">
        <v>84</v>
      </c>
      <c r="D10" s="35" t="s">
        <v>85</v>
      </c>
      <c r="E10" s="28">
        <v>0.12</v>
      </c>
      <c r="F10" s="28">
        <v>0.12</v>
      </c>
      <c r="G10" s="28">
        <v>0.1</v>
      </c>
      <c r="H10" s="28">
        <v>0.15</v>
      </c>
      <c r="I10" s="28">
        <v>0.15</v>
      </c>
      <c r="J10" s="28">
        <v>0.2</v>
      </c>
      <c r="K10" s="29">
        <v>0.1</v>
      </c>
      <c r="M10" s="303"/>
      <c r="N10" s="314" t="s">
        <v>86</v>
      </c>
      <c r="O10" s="55">
        <v>3</v>
      </c>
      <c r="P10" s="56" t="s">
        <v>87</v>
      </c>
      <c r="Q10" s="57" t="s">
        <v>88</v>
      </c>
      <c r="R10" s="58" t="s">
        <v>89</v>
      </c>
      <c r="S10" s="40">
        <v>0.25</v>
      </c>
      <c r="T10" s="41" t="s">
        <v>90</v>
      </c>
      <c r="V10" s="315" t="s">
        <v>91</v>
      </c>
      <c r="W10" s="315"/>
      <c r="X10" s="316" t="s">
        <v>92</v>
      </c>
      <c r="Y10" s="316"/>
      <c r="Z10" s="59" t="s">
        <v>55</v>
      </c>
      <c r="AA10" s="60" t="s">
        <v>56</v>
      </c>
      <c r="AB10" s="60" t="s">
        <v>93</v>
      </c>
      <c r="AC10" s="61">
        <v>0.7</v>
      </c>
      <c r="AD10" s="317">
        <f>SUM(AC10:AC13)</f>
        <v>1</v>
      </c>
      <c r="AE10" s="62" t="s">
        <v>94</v>
      </c>
      <c r="AF10" s="63" t="s">
        <v>95</v>
      </c>
      <c r="AG10" s="64" t="s">
        <v>96</v>
      </c>
      <c r="AH10" s="63" t="s">
        <v>97</v>
      </c>
      <c r="AI10" s="65" t="s">
        <v>98</v>
      </c>
      <c r="AJ10" s="66">
        <v>3</v>
      </c>
      <c r="AK10" s="67">
        <f>(AC10*AJ10)</f>
        <v>2.0999999999999996</v>
      </c>
      <c r="AL10" s="318">
        <f>SUM(AK10:AK13)</f>
        <v>3.5999999999999996</v>
      </c>
      <c r="AM10" s="318">
        <f>ABS($AN$7*AL10)</f>
        <v>1.0799999999999998</v>
      </c>
      <c r="AN10" s="319">
        <f>ABS(Y9*AM10)</f>
        <v>0.3024</v>
      </c>
      <c r="AO10" s="68" t="s">
        <v>87</v>
      </c>
      <c r="AP10" s="69" t="s">
        <v>88</v>
      </c>
      <c r="AQ10" s="69" t="s">
        <v>89</v>
      </c>
      <c r="AR10" s="70">
        <v>0.25</v>
      </c>
      <c r="AS10" s="317">
        <f>SUM(AR10:AR13)</f>
        <v>1</v>
      </c>
      <c r="AT10" s="62" t="s">
        <v>99</v>
      </c>
      <c r="AU10" s="64" t="s">
        <v>100</v>
      </c>
      <c r="AV10" s="63" t="s">
        <v>101</v>
      </c>
      <c r="AW10" s="63" t="s">
        <v>102</v>
      </c>
      <c r="AX10" s="65" t="s">
        <v>103</v>
      </c>
      <c r="AY10" s="71">
        <v>2</v>
      </c>
      <c r="AZ10" s="72">
        <f>(AR10*AY10)</f>
        <v>0.5</v>
      </c>
      <c r="BA10" s="320">
        <f>SUM(AZ10:AZ13)</f>
        <v>2.4499999999999997</v>
      </c>
      <c r="BB10" s="320">
        <f>ABS(BA10*$BC$7)</f>
        <v>0.61249999999999993</v>
      </c>
      <c r="BC10" s="321">
        <f>ABS(Y9*BB10)</f>
        <v>0.17149999999999999</v>
      </c>
      <c r="BD10" s="73" t="s">
        <v>104</v>
      </c>
      <c r="BE10" s="69" t="s">
        <v>105</v>
      </c>
      <c r="BF10" s="69" t="s">
        <v>106</v>
      </c>
      <c r="BG10" s="70">
        <v>0.4</v>
      </c>
      <c r="BH10" s="322">
        <f>SUM(BG10:BG13)</f>
        <v>1</v>
      </c>
      <c r="BI10" s="65" t="s">
        <v>107</v>
      </c>
      <c r="BJ10" s="74" t="s">
        <v>108</v>
      </c>
      <c r="BK10" s="65" t="s">
        <v>109</v>
      </c>
      <c r="BL10" s="65" t="s">
        <v>110</v>
      </c>
      <c r="BM10" s="65" t="s">
        <v>111</v>
      </c>
      <c r="BN10" s="75">
        <v>2</v>
      </c>
      <c r="BO10" s="72">
        <f>(BG10*BN10)</f>
        <v>0.8</v>
      </c>
      <c r="BP10" s="320">
        <f>SUM(BO10:BO13)</f>
        <v>2.0999999999999996</v>
      </c>
      <c r="BQ10" s="320">
        <f>ABS(BP10*$BR$7)</f>
        <v>0.37799999999999995</v>
      </c>
      <c r="BR10" s="321">
        <f>ABS(Y9*BQ10)</f>
        <v>0.10583999999999999</v>
      </c>
      <c r="BS10" s="73" t="s">
        <v>112</v>
      </c>
      <c r="BT10" s="69" t="s">
        <v>113</v>
      </c>
      <c r="BU10" s="69" t="s">
        <v>114</v>
      </c>
      <c r="BV10" s="70">
        <v>0.4</v>
      </c>
      <c r="BW10" s="322">
        <f>SUM(BV10:BV13)</f>
        <v>1</v>
      </c>
      <c r="BX10" s="76" t="s">
        <v>115</v>
      </c>
      <c r="BY10" s="76" t="s">
        <v>116</v>
      </c>
      <c r="BZ10" s="77" t="s">
        <v>117</v>
      </c>
      <c r="CA10" s="76" t="s">
        <v>118</v>
      </c>
      <c r="CB10" s="78" t="s">
        <v>119</v>
      </c>
      <c r="CC10" s="75">
        <v>3</v>
      </c>
      <c r="CD10" s="72">
        <f>(BV10*CC10)</f>
        <v>1.2000000000000002</v>
      </c>
      <c r="CE10" s="320">
        <f>SUM(CD10:CD13)</f>
        <v>2.7</v>
      </c>
      <c r="CF10" s="320">
        <f>ABS(CE10*$CG$7)</f>
        <v>0.32400000000000001</v>
      </c>
      <c r="CG10" s="323">
        <f>ABS(Y9*CF10)</f>
        <v>9.0720000000000009E-2</v>
      </c>
      <c r="CH10" s="68" t="s">
        <v>120</v>
      </c>
      <c r="CI10" s="69" t="s">
        <v>121</v>
      </c>
      <c r="CJ10" s="69" t="s">
        <v>122</v>
      </c>
      <c r="CK10" s="79">
        <v>0.35</v>
      </c>
      <c r="CL10" s="322">
        <f>SUM(CK10:CK13)</f>
        <v>0.99999999999999989</v>
      </c>
      <c r="CM10" s="76" t="s">
        <v>123</v>
      </c>
      <c r="CN10" s="80" t="s">
        <v>124</v>
      </c>
      <c r="CO10" s="76" t="s">
        <v>125</v>
      </c>
      <c r="CP10" s="76" t="s">
        <v>126</v>
      </c>
      <c r="CQ10" s="78" t="s">
        <v>127</v>
      </c>
      <c r="CR10" s="75">
        <v>2</v>
      </c>
      <c r="CS10" s="72">
        <f>(CK10*CR10)</f>
        <v>0.7</v>
      </c>
      <c r="CT10" s="320">
        <f>SUM(CS10:CS13)</f>
        <v>2.9499999999999997</v>
      </c>
      <c r="CU10" s="320">
        <f>ABS(CT10*$CV$7)</f>
        <v>0.44249999999999995</v>
      </c>
      <c r="CV10" s="324">
        <f>ABS(Y9*CU10)</f>
        <v>0.1239</v>
      </c>
      <c r="CW10" s="325">
        <f>ABS(AM10+BB10+BQ10+CF10+CU10)</f>
        <v>2.8369999999999997</v>
      </c>
      <c r="CX10" s="326">
        <f>ABS(AN34)</f>
        <v>0.68220000000000003</v>
      </c>
      <c r="CY10" s="327">
        <f>ABS(CW10*Y9)</f>
        <v>0.79435999999999996</v>
      </c>
      <c r="CZ10" s="81"/>
      <c r="DB10" s="82" t="s">
        <v>128</v>
      </c>
      <c r="DC10" s="83" t="s">
        <v>129</v>
      </c>
      <c r="DD10" s="84" t="s">
        <v>130</v>
      </c>
      <c r="DE10" s="83" t="s">
        <v>131</v>
      </c>
      <c r="DF10" s="85" t="s">
        <v>132</v>
      </c>
    </row>
    <row r="11" spans="2:110" ht="42.75" customHeight="1" x14ac:dyDescent="0.35">
      <c r="B11" s="294"/>
      <c r="C11" s="86" t="s">
        <v>133</v>
      </c>
      <c r="D11" s="87" t="s">
        <v>134</v>
      </c>
      <c r="E11" s="88">
        <v>0.2</v>
      </c>
      <c r="F11" s="88">
        <v>0.2</v>
      </c>
      <c r="G11" s="88">
        <v>0.22</v>
      </c>
      <c r="H11" s="88">
        <v>0.18</v>
      </c>
      <c r="I11" s="88">
        <v>0.25</v>
      </c>
      <c r="J11" s="88">
        <v>0.15</v>
      </c>
      <c r="K11" s="89">
        <v>0.2</v>
      </c>
      <c r="M11" s="303"/>
      <c r="N11" s="314"/>
      <c r="O11" s="90">
        <v>4</v>
      </c>
      <c r="P11" s="91" t="s">
        <v>135</v>
      </c>
      <c r="Q11" s="92" t="s">
        <v>136</v>
      </c>
      <c r="R11" s="93" t="s">
        <v>137</v>
      </c>
      <c r="S11" s="94">
        <v>0.35</v>
      </c>
      <c r="T11" s="95" t="s">
        <v>138</v>
      </c>
      <c r="V11" s="328" t="s">
        <v>139</v>
      </c>
      <c r="W11" s="328"/>
      <c r="X11" s="329" t="s">
        <v>140</v>
      </c>
      <c r="Y11" s="329"/>
      <c r="Z11" s="96" t="s">
        <v>70</v>
      </c>
      <c r="AA11" s="97" t="s">
        <v>71</v>
      </c>
      <c r="AB11" s="97" t="s">
        <v>72</v>
      </c>
      <c r="AC11" s="79">
        <v>0.3</v>
      </c>
      <c r="AD11" s="317"/>
      <c r="AE11" s="98" t="s">
        <v>141</v>
      </c>
      <c r="AF11" s="99" t="s">
        <v>142</v>
      </c>
      <c r="AG11" s="99" t="s">
        <v>143</v>
      </c>
      <c r="AH11" s="99" t="s">
        <v>144</v>
      </c>
      <c r="AI11" s="100" t="s">
        <v>145</v>
      </c>
      <c r="AJ11" s="101">
        <v>5</v>
      </c>
      <c r="AK11" s="72">
        <f>(AC11*AJ11)</f>
        <v>1.5</v>
      </c>
      <c r="AL11" s="318"/>
      <c r="AM11" s="318"/>
      <c r="AN11" s="319"/>
      <c r="AO11" s="68" t="s">
        <v>135</v>
      </c>
      <c r="AP11" s="69" t="s">
        <v>136</v>
      </c>
      <c r="AQ11" s="69" t="s">
        <v>137</v>
      </c>
      <c r="AR11" s="70">
        <v>0.35</v>
      </c>
      <c r="AS11" s="317"/>
      <c r="AT11" s="102" t="s">
        <v>146</v>
      </c>
      <c r="AU11" s="103" t="s">
        <v>147</v>
      </c>
      <c r="AV11" s="99" t="s">
        <v>148</v>
      </c>
      <c r="AW11" s="104" t="s">
        <v>149</v>
      </c>
      <c r="AX11" s="105" t="s">
        <v>150</v>
      </c>
      <c r="AY11" s="71">
        <v>4</v>
      </c>
      <c r="AZ11" s="72">
        <f>(AR11*AY11)</f>
        <v>1.4</v>
      </c>
      <c r="BA11" s="320"/>
      <c r="BB11" s="320"/>
      <c r="BC11" s="321"/>
      <c r="BD11" s="73" t="s">
        <v>151</v>
      </c>
      <c r="BE11" s="69" t="s">
        <v>152</v>
      </c>
      <c r="BF11" s="69" t="s">
        <v>153</v>
      </c>
      <c r="BG11" s="70">
        <v>0.35</v>
      </c>
      <c r="BH11" s="322"/>
      <c r="BI11" s="106" t="s">
        <v>154</v>
      </c>
      <c r="BJ11" s="106" t="s">
        <v>155</v>
      </c>
      <c r="BK11" s="107" t="s">
        <v>156</v>
      </c>
      <c r="BL11" s="106" t="s">
        <v>157</v>
      </c>
      <c r="BM11" s="78" t="s">
        <v>158</v>
      </c>
      <c r="BN11" s="75">
        <v>3</v>
      </c>
      <c r="BO11" s="72">
        <f>(BG11*BN11)</f>
        <v>1.0499999999999998</v>
      </c>
      <c r="BP11" s="320"/>
      <c r="BQ11" s="320"/>
      <c r="BR11" s="321"/>
      <c r="BS11" s="73" t="s">
        <v>159</v>
      </c>
      <c r="BT11" s="69" t="s">
        <v>160</v>
      </c>
      <c r="BU11" s="69" t="s">
        <v>161</v>
      </c>
      <c r="BV11" s="70">
        <v>0.3</v>
      </c>
      <c r="BW11" s="322"/>
      <c r="BX11" s="99" t="s">
        <v>162</v>
      </c>
      <c r="BY11" s="99" t="s">
        <v>163</v>
      </c>
      <c r="BZ11" s="99" t="s">
        <v>164</v>
      </c>
      <c r="CA11" s="108" t="s">
        <v>165</v>
      </c>
      <c r="CB11" s="99" t="s">
        <v>166</v>
      </c>
      <c r="CC11" s="75">
        <v>4</v>
      </c>
      <c r="CD11" s="72">
        <f>(BV11*CC11)</f>
        <v>1.2</v>
      </c>
      <c r="CE11" s="320"/>
      <c r="CF11" s="320"/>
      <c r="CG11" s="323"/>
      <c r="CH11" s="68" t="s">
        <v>167</v>
      </c>
      <c r="CI11" s="69" t="s">
        <v>168</v>
      </c>
      <c r="CJ11" s="69" t="s">
        <v>169</v>
      </c>
      <c r="CK11" s="79">
        <v>0.3</v>
      </c>
      <c r="CL11" s="322"/>
      <c r="CM11" s="99" t="s">
        <v>170</v>
      </c>
      <c r="CN11" s="99" t="s">
        <v>171</v>
      </c>
      <c r="CO11" s="99" t="s">
        <v>172</v>
      </c>
      <c r="CP11" s="100" t="s">
        <v>173</v>
      </c>
      <c r="CQ11" s="99" t="s">
        <v>174</v>
      </c>
      <c r="CR11" s="75">
        <v>4</v>
      </c>
      <c r="CS11" s="72">
        <f>(CK11*CR11)</f>
        <v>1.2</v>
      </c>
      <c r="CT11" s="320"/>
      <c r="CU11" s="320"/>
      <c r="CV11" s="324"/>
      <c r="CW11" s="325"/>
      <c r="CX11" s="326"/>
      <c r="CY11" s="327"/>
      <c r="CZ11" s="81"/>
      <c r="DB11" s="109">
        <f>ABS(CW10)</f>
        <v>2.8369999999999997</v>
      </c>
      <c r="DC11" s="110">
        <f>ABS(CY10)</f>
        <v>0.79435999999999996</v>
      </c>
      <c r="DD11" s="111">
        <f>ABS(DC11/$DC$16)</f>
        <v>0.34915081402299658</v>
      </c>
      <c r="DE11" s="110">
        <f>ABS(CX10)</f>
        <v>0.68220000000000003</v>
      </c>
      <c r="DF11" s="112">
        <f>ABS(DE11/$DE$16)</f>
        <v>0.29985231548226032</v>
      </c>
    </row>
    <row r="12" spans="2:110" ht="42.75" customHeight="1" x14ac:dyDescent="0.35">
      <c r="B12" s="294"/>
      <c r="C12" s="330" t="s">
        <v>175</v>
      </c>
      <c r="D12" s="330"/>
      <c r="E12" s="113">
        <f t="shared" ref="E12:K12" si="0">SUM(E7:E11)</f>
        <v>1</v>
      </c>
      <c r="F12" s="113">
        <f t="shared" si="0"/>
        <v>1</v>
      </c>
      <c r="G12" s="113">
        <f t="shared" si="0"/>
        <v>1</v>
      </c>
      <c r="H12" s="113">
        <f t="shared" si="0"/>
        <v>1</v>
      </c>
      <c r="I12" s="113">
        <f t="shared" si="0"/>
        <v>1</v>
      </c>
      <c r="J12" s="113">
        <f t="shared" si="0"/>
        <v>1</v>
      </c>
      <c r="K12" s="114">
        <f t="shared" si="0"/>
        <v>1</v>
      </c>
      <c r="M12" s="303"/>
      <c r="N12" s="314"/>
      <c r="O12" s="90">
        <v>5</v>
      </c>
      <c r="P12" s="91" t="s">
        <v>176</v>
      </c>
      <c r="Q12" s="92" t="s">
        <v>177</v>
      </c>
      <c r="R12" s="93" t="s">
        <v>178</v>
      </c>
      <c r="S12" s="94">
        <v>0.25</v>
      </c>
      <c r="T12" s="95" t="s">
        <v>179</v>
      </c>
      <c r="V12" s="328" t="s">
        <v>180</v>
      </c>
      <c r="W12" s="328"/>
      <c r="X12" s="329" t="s">
        <v>181</v>
      </c>
      <c r="Y12" s="329"/>
      <c r="Z12" s="115"/>
      <c r="AA12" s="116"/>
      <c r="AB12" s="116"/>
      <c r="AC12" s="117"/>
      <c r="AD12" s="317"/>
      <c r="AE12" s="118"/>
      <c r="AF12" s="119"/>
      <c r="AG12" s="119" t="s">
        <v>751</v>
      </c>
      <c r="AH12" s="119"/>
      <c r="AI12" s="119"/>
      <c r="AJ12" s="120"/>
      <c r="AK12" s="121"/>
      <c r="AL12" s="318"/>
      <c r="AM12" s="318"/>
      <c r="AN12" s="319"/>
      <c r="AO12" s="68" t="s">
        <v>176</v>
      </c>
      <c r="AP12" s="69" t="s">
        <v>177</v>
      </c>
      <c r="AQ12" s="69" t="s">
        <v>178</v>
      </c>
      <c r="AR12" s="70">
        <v>0.25</v>
      </c>
      <c r="AS12" s="317"/>
      <c r="AT12" s="122" t="s">
        <v>182</v>
      </c>
      <c r="AU12" s="98" t="s">
        <v>183</v>
      </c>
      <c r="AV12" s="99" t="s">
        <v>184</v>
      </c>
      <c r="AW12" s="98" t="s">
        <v>185</v>
      </c>
      <c r="AX12" s="99" t="s">
        <v>186</v>
      </c>
      <c r="AY12" s="71">
        <v>1</v>
      </c>
      <c r="AZ12" s="72">
        <f>(AR12*AY12)</f>
        <v>0.25</v>
      </c>
      <c r="BA12" s="320"/>
      <c r="BB12" s="320"/>
      <c r="BC12" s="321"/>
      <c r="BD12" s="73" t="s">
        <v>187</v>
      </c>
      <c r="BE12" s="69" t="s">
        <v>188</v>
      </c>
      <c r="BF12" s="69" t="s">
        <v>189</v>
      </c>
      <c r="BG12" s="70">
        <v>0.25</v>
      </c>
      <c r="BH12" s="322"/>
      <c r="BI12" s="108" t="s">
        <v>190</v>
      </c>
      <c r="BJ12" s="99" t="s">
        <v>191</v>
      </c>
      <c r="BK12" s="99" t="s">
        <v>192</v>
      </c>
      <c r="BL12" s="99" t="s">
        <v>193</v>
      </c>
      <c r="BM12" s="99" t="s">
        <v>194</v>
      </c>
      <c r="BN12" s="75">
        <v>1</v>
      </c>
      <c r="BO12" s="72">
        <f>(BG12*BN12)</f>
        <v>0.25</v>
      </c>
      <c r="BP12" s="320"/>
      <c r="BQ12" s="320"/>
      <c r="BR12" s="321"/>
      <c r="BS12" s="73" t="s">
        <v>195</v>
      </c>
      <c r="BT12" s="69" t="s">
        <v>196</v>
      </c>
      <c r="BU12" s="69" t="s">
        <v>197</v>
      </c>
      <c r="BV12" s="70">
        <v>0.3</v>
      </c>
      <c r="BW12" s="322"/>
      <c r="BX12" s="99" t="s">
        <v>198</v>
      </c>
      <c r="BY12" s="99" t="s">
        <v>199</v>
      </c>
      <c r="BZ12" s="99" t="s">
        <v>200</v>
      </c>
      <c r="CA12" s="99" t="s">
        <v>201</v>
      </c>
      <c r="CB12" s="99" t="s">
        <v>123</v>
      </c>
      <c r="CC12" s="75">
        <v>1</v>
      </c>
      <c r="CD12" s="72">
        <f>(BV12*CC12)</f>
        <v>0.3</v>
      </c>
      <c r="CE12" s="320"/>
      <c r="CF12" s="320"/>
      <c r="CG12" s="323"/>
      <c r="CH12" s="68" t="s">
        <v>202</v>
      </c>
      <c r="CI12" s="69" t="s">
        <v>203</v>
      </c>
      <c r="CJ12" s="69" t="s">
        <v>204</v>
      </c>
      <c r="CK12" s="79">
        <v>0.35</v>
      </c>
      <c r="CL12" s="322"/>
      <c r="CM12" s="105" t="s">
        <v>205</v>
      </c>
      <c r="CN12" s="105" t="s">
        <v>206</v>
      </c>
      <c r="CO12" s="123" t="s">
        <v>207</v>
      </c>
      <c r="CP12" s="105" t="s">
        <v>208</v>
      </c>
      <c r="CQ12" s="78" t="s">
        <v>209</v>
      </c>
      <c r="CR12" s="75">
        <v>3</v>
      </c>
      <c r="CS12" s="72">
        <f>(CK12*CR12)</f>
        <v>1.0499999999999998</v>
      </c>
      <c r="CT12" s="320"/>
      <c r="CU12" s="320"/>
      <c r="CV12" s="324"/>
      <c r="CW12" s="325"/>
      <c r="CX12" s="326"/>
      <c r="CY12" s="327"/>
      <c r="CZ12" s="81"/>
      <c r="DB12" s="109">
        <f>ABS(CW15)</f>
        <v>2.7304999999999997</v>
      </c>
      <c r="DC12" s="110">
        <f>ABS(CY15)</f>
        <v>0.60070999999999997</v>
      </c>
      <c r="DD12" s="111">
        <f>ABS(DC12/$DC$16)</f>
        <v>0.26403442455782555</v>
      </c>
      <c r="DE12" s="124">
        <f>ABS(CX15)</f>
        <v>0.56349999999999989</v>
      </c>
      <c r="DF12" s="112">
        <f>ABS(DE12/$DE$16)</f>
        <v>0.24767924329266147</v>
      </c>
    </row>
    <row r="13" spans="2:110" ht="42.75" customHeight="1" x14ac:dyDescent="0.35">
      <c r="B13" s="331" t="s">
        <v>22</v>
      </c>
      <c r="C13" s="125" t="s">
        <v>210</v>
      </c>
      <c r="D13" s="126" t="s">
        <v>211</v>
      </c>
      <c r="E13" s="127">
        <v>0.35</v>
      </c>
      <c r="F13" s="127">
        <v>0.3</v>
      </c>
      <c r="G13" s="127">
        <v>0.38</v>
      </c>
      <c r="H13" s="127">
        <v>0.3</v>
      </c>
      <c r="I13" s="127">
        <v>0.25</v>
      </c>
      <c r="J13" s="127">
        <v>0.27</v>
      </c>
      <c r="K13" s="128">
        <v>0.4</v>
      </c>
      <c r="M13" s="303"/>
      <c r="N13" s="314"/>
      <c r="O13" s="44">
        <v>6</v>
      </c>
      <c r="P13" s="45" t="s">
        <v>212</v>
      </c>
      <c r="Q13" s="129" t="s">
        <v>213</v>
      </c>
      <c r="R13" s="130" t="s">
        <v>214</v>
      </c>
      <c r="S13" s="48">
        <v>0.15</v>
      </c>
      <c r="T13" s="49" t="s">
        <v>215</v>
      </c>
      <c r="V13" s="332" t="s">
        <v>216</v>
      </c>
      <c r="W13" s="332"/>
      <c r="X13" s="333" t="s">
        <v>217</v>
      </c>
      <c r="Y13" s="333"/>
      <c r="Z13" s="131"/>
      <c r="AA13" s="132"/>
      <c r="AB13" s="132"/>
      <c r="AC13" s="133"/>
      <c r="AD13" s="317"/>
      <c r="AE13" s="131"/>
      <c r="AF13" s="134"/>
      <c r="AG13" s="134"/>
      <c r="AH13" s="134"/>
      <c r="AI13" s="134"/>
      <c r="AJ13" s="135"/>
      <c r="AK13" s="136"/>
      <c r="AL13" s="318"/>
      <c r="AM13" s="318"/>
      <c r="AN13" s="319"/>
      <c r="AO13" s="137" t="s">
        <v>212</v>
      </c>
      <c r="AP13" s="138" t="s">
        <v>213</v>
      </c>
      <c r="AQ13" s="138" t="s">
        <v>214</v>
      </c>
      <c r="AR13" s="139">
        <v>0.15</v>
      </c>
      <c r="AS13" s="317"/>
      <c r="AT13" s="140" t="s">
        <v>218</v>
      </c>
      <c r="AU13" s="141" t="s">
        <v>219</v>
      </c>
      <c r="AV13" s="142" t="s">
        <v>220</v>
      </c>
      <c r="AW13" s="140" t="s">
        <v>221</v>
      </c>
      <c r="AX13" s="142" t="s">
        <v>222</v>
      </c>
      <c r="AY13" s="143">
        <v>2</v>
      </c>
      <c r="AZ13" s="144">
        <f>(AR13*AY13)</f>
        <v>0.3</v>
      </c>
      <c r="BA13" s="320"/>
      <c r="BB13" s="320"/>
      <c r="BC13" s="321"/>
      <c r="BD13" s="145"/>
      <c r="BE13" s="136"/>
      <c r="BF13" s="136"/>
      <c r="BG13" s="146"/>
      <c r="BH13" s="322"/>
      <c r="BI13" s="147"/>
      <c r="BJ13" s="147"/>
      <c r="BK13" s="147"/>
      <c r="BL13" s="147"/>
      <c r="BM13" s="147"/>
      <c r="BN13" s="148"/>
      <c r="BO13" s="144"/>
      <c r="BP13" s="320"/>
      <c r="BQ13" s="320"/>
      <c r="BR13" s="321"/>
      <c r="BS13" s="145"/>
      <c r="BT13" s="136"/>
      <c r="BU13" s="136"/>
      <c r="BV13" s="146"/>
      <c r="BW13" s="322"/>
      <c r="BX13" s="134"/>
      <c r="BY13" s="134"/>
      <c r="BZ13" s="134"/>
      <c r="CA13" s="134"/>
      <c r="CB13" s="134"/>
      <c r="CC13" s="148"/>
      <c r="CD13" s="144"/>
      <c r="CE13" s="320"/>
      <c r="CF13" s="320"/>
      <c r="CG13" s="323"/>
      <c r="CH13" s="145"/>
      <c r="CI13" s="136"/>
      <c r="CJ13" s="136"/>
      <c r="CK13" s="146"/>
      <c r="CL13" s="322"/>
      <c r="CM13" s="134"/>
      <c r="CN13" s="134"/>
      <c r="CO13" s="134"/>
      <c r="CP13" s="134"/>
      <c r="CQ13" s="134"/>
      <c r="CR13" s="148"/>
      <c r="CS13" s="144"/>
      <c r="CT13" s="320"/>
      <c r="CU13" s="320"/>
      <c r="CV13" s="324"/>
      <c r="CW13" s="325"/>
      <c r="CX13" s="326"/>
      <c r="CY13" s="327"/>
      <c r="CZ13" s="81">
        <v>54</v>
      </c>
      <c r="DB13" s="109">
        <f>ABS(CW20)</f>
        <v>2.7974999999999999</v>
      </c>
      <c r="DC13" s="110">
        <f>ABS(CY20)</f>
        <v>0.50354999999999994</v>
      </c>
      <c r="DD13" s="111">
        <f>ABS(DC13/$DC$16)</f>
        <v>0.22132898484475544</v>
      </c>
      <c r="DE13" s="124">
        <f>ABS(CX20)</f>
        <v>0.41579999999999995</v>
      </c>
      <c r="DF13" s="112">
        <f>ABS(DE13/$DE$16)</f>
        <v>0.18275959070290798</v>
      </c>
    </row>
    <row r="14" spans="2:110" ht="42.75" customHeight="1" x14ac:dyDescent="0.35">
      <c r="B14" s="331"/>
      <c r="C14" s="25" t="s">
        <v>223</v>
      </c>
      <c r="D14" s="149" t="s">
        <v>224</v>
      </c>
      <c r="E14" s="28">
        <v>0.25</v>
      </c>
      <c r="F14" s="28">
        <v>0.25</v>
      </c>
      <c r="G14" s="28">
        <v>0.3</v>
      </c>
      <c r="H14" s="28">
        <v>0.25</v>
      </c>
      <c r="I14" s="28">
        <v>0.2</v>
      </c>
      <c r="J14" s="28">
        <v>0.22</v>
      </c>
      <c r="K14" s="29">
        <v>0.25</v>
      </c>
      <c r="M14" s="303"/>
      <c r="N14" s="314" t="s">
        <v>225</v>
      </c>
      <c r="O14" s="55">
        <v>7</v>
      </c>
      <c r="P14" s="150" t="s">
        <v>104</v>
      </c>
      <c r="Q14" s="57" t="s">
        <v>105</v>
      </c>
      <c r="R14" s="151" t="s">
        <v>106</v>
      </c>
      <c r="S14" s="40">
        <v>0.4</v>
      </c>
      <c r="T14" s="41" t="s">
        <v>226</v>
      </c>
      <c r="V14" s="334" t="s">
        <v>227</v>
      </c>
      <c r="W14" s="334"/>
      <c r="X14" s="334"/>
      <c r="Y14" s="152">
        <v>0.22</v>
      </c>
      <c r="Z14" s="335"/>
      <c r="AA14" s="335"/>
      <c r="AB14" s="335"/>
      <c r="AC14" s="335"/>
      <c r="AD14" s="335"/>
      <c r="AE14" s="335"/>
      <c r="AF14" s="335"/>
      <c r="AG14" s="335"/>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c r="BD14" s="335"/>
      <c r="BE14" s="335"/>
      <c r="BF14" s="335"/>
      <c r="BG14" s="335"/>
      <c r="BH14" s="335"/>
      <c r="BI14" s="335"/>
      <c r="BJ14" s="335"/>
      <c r="BK14" s="335"/>
      <c r="BL14" s="335"/>
      <c r="BM14" s="335"/>
      <c r="BN14" s="335"/>
      <c r="BO14" s="335"/>
      <c r="BP14" s="335"/>
      <c r="BQ14" s="335"/>
      <c r="BR14" s="335"/>
      <c r="BS14" s="335"/>
      <c r="BT14" s="335"/>
      <c r="BU14" s="335"/>
      <c r="BV14" s="335"/>
      <c r="BW14" s="335"/>
      <c r="BX14" s="335"/>
      <c r="BY14" s="335"/>
      <c r="BZ14" s="335"/>
      <c r="CA14" s="335"/>
      <c r="CB14" s="335"/>
      <c r="CC14" s="335"/>
      <c r="CD14" s="335"/>
      <c r="CE14" s="335"/>
      <c r="CF14" s="335"/>
      <c r="CG14" s="335"/>
      <c r="CH14" s="335"/>
      <c r="CI14" s="335"/>
      <c r="CJ14" s="335"/>
      <c r="CK14" s="335"/>
      <c r="CL14" s="335"/>
      <c r="CM14" s="335"/>
      <c r="CN14" s="335"/>
      <c r="CO14" s="335"/>
      <c r="CP14" s="335"/>
      <c r="CQ14" s="335"/>
      <c r="CR14" s="335"/>
      <c r="CS14" s="335"/>
      <c r="CT14" s="335"/>
      <c r="CU14" s="335"/>
      <c r="CV14" s="335"/>
      <c r="CW14" s="335"/>
      <c r="CX14" s="335"/>
      <c r="CY14" s="335"/>
      <c r="CZ14" s="153"/>
      <c r="DB14" s="154">
        <f>ABS(CW25)</f>
        <v>2.6960000000000002</v>
      </c>
      <c r="DC14" s="110">
        <f>ABS(CY25)</f>
        <v>0.32352000000000003</v>
      </c>
      <c r="DD14" s="111">
        <f>ABS(DC14/$DC$16)</f>
        <v>0.14219909279510534</v>
      </c>
      <c r="DE14" s="124">
        <f>ABS(CX25)</f>
        <v>0.27971999999999997</v>
      </c>
      <c r="DF14" s="112">
        <f>ABS(DE14/$DE$16)</f>
        <v>0.12294736101831991</v>
      </c>
    </row>
    <row r="15" spans="2:110" ht="42.75" customHeight="1" x14ac:dyDescent="0.35">
      <c r="B15" s="331"/>
      <c r="C15" s="25" t="s">
        <v>228</v>
      </c>
      <c r="D15" s="149" t="s">
        <v>229</v>
      </c>
      <c r="E15" s="28">
        <v>0.15</v>
      </c>
      <c r="F15" s="28">
        <v>0.18</v>
      </c>
      <c r="G15" s="28">
        <v>0.12</v>
      </c>
      <c r="H15" s="28">
        <v>0.25</v>
      </c>
      <c r="I15" s="28">
        <v>0.18</v>
      </c>
      <c r="J15" s="28">
        <v>0.2</v>
      </c>
      <c r="K15" s="29">
        <v>0.15</v>
      </c>
      <c r="M15" s="303"/>
      <c r="N15" s="314"/>
      <c r="O15" s="90">
        <v>8</v>
      </c>
      <c r="P15" s="155" t="s">
        <v>151</v>
      </c>
      <c r="Q15" s="92" t="s">
        <v>152</v>
      </c>
      <c r="R15" s="156" t="s">
        <v>153</v>
      </c>
      <c r="S15" s="94">
        <v>0.35</v>
      </c>
      <c r="T15" s="95" t="s">
        <v>230</v>
      </c>
      <c r="V15" s="336" t="s">
        <v>231</v>
      </c>
      <c r="W15" s="336"/>
      <c r="X15" s="329" t="s">
        <v>232</v>
      </c>
      <c r="Y15" s="329"/>
      <c r="Z15" s="73" t="s">
        <v>233</v>
      </c>
      <c r="AA15" s="97" t="s">
        <v>234</v>
      </c>
      <c r="AB15" s="97" t="s">
        <v>235</v>
      </c>
      <c r="AC15" s="70">
        <v>0.35</v>
      </c>
      <c r="AD15" s="322">
        <f>SUM(AC15:AC18)</f>
        <v>0.99999999999999989</v>
      </c>
      <c r="AE15" s="108" t="s">
        <v>236</v>
      </c>
      <c r="AF15" s="99" t="s">
        <v>237</v>
      </c>
      <c r="AG15" s="99" t="s">
        <v>238</v>
      </c>
      <c r="AH15" s="99" t="s">
        <v>239</v>
      </c>
      <c r="AI15" s="99" t="s">
        <v>240</v>
      </c>
      <c r="AJ15" s="75">
        <v>1</v>
      </c>
      <c r="AK15" s="72">
        <f>(AC15*AJ15)</f>
        <v>0.35</v>
      </c>
      <c r="AL15" s="320">
        <f>SUM(AK15:AK18)</f>
        <v>2.5999999999999996</v>
      </c>
      <c r="AM15" s="318">
        <f>ABS($AN$7*AL15)</f>
        <v>0.77999999999999992</v>
      </c>
      <c r="AN15" s="337">
        <f>ABS(Y14*AM15)</f>
        <v>0.17159999999999997</v>
      </c>
      <c r="AO15" s="68" t="s">
        <v>241</v>
      </c>
      <c r="AP15" s="69" t="s">
        <v>242</v>
      </c>
      <c r="AQ15" s="69" t="s">
        <v>243</v>
      </c>
      <c r="AR15" s="79">
        <v>0.4</v>
      </c>
      <c r="AS15" s="322">
        <f>SUM(AR15:AR18)</f>
        <v>1</v>
      </c>
      <c r="AT15" s="99" t="s">
        <v>244</v>
      </c>
      <c r="AU15" s="108" t="s">
        <v>245</v>
      </c>
      <c r="AV15" s="99" t="s">
        <v>246</v>
      </c>
      <c r="AW15" s="99" t="s">
        <v>247</v>
      </c>
      <c r="AX15" s="99" t="s">
        <v>248</v>
      </c>
      <c r="AY15" s="75">
        <v>2</v>
      </c>
      <c r="AZ15" s="72">
        <f>(AR15*AY15)</f>
        <v>0.8</v>
      </c>
      <c r="BA15" s="320">
        <f>SUM(AZ15:AZ18)</f>
        <v>2</v>
      </c>
      <c r="BB15" s="320">
        <f>ABS(BA15*$BC$7)</f>
        <v>0.5</v>
      </c>
      <c r="BC15" s="321">
        <f>ABS(Y14*BB15)</f>
        <v>0.11</v>
      </c>
      <c r="BD15" s="68" t="s">
        <v>249</v>
      </c>
      <c r="BE15" s="69" t="s">
        <v>250</v>
      </c>
      <c r="BF15" s="69" t="s">
        <v>251</v>
      </c>
      <c r="BG15" s="79">
        <v>0.6</v>
      </c>
      <c r="BH15" s="322">
        <f>SUM(BG15:BG18)</f>
        <v>1</v>
      </c>
      <c r="BI15" s="99" t="s">
        <v>252</v>
      </c>
      <c r="BJ15" s="99" t="s">
        <v>253</v>
      </c>
      <c r="BK15" s="99" t="s">
        <v>254</v>
      </c>
      <c r="BL15" s="99" t="s">
        <v>255</v>
      </c>
      <c r="BM15" s="99" t="s">
        <v>256</v>
      </c>
      <c r="BN15" s="75">
        <v>5</v>
      </c>
      <c r="BO15" s="72">
        <f>(BG15*BN15)</f>
        <v>3</v>
      </c>
      <c r="BP15" s="320">
        <f>SUM(BO15:BO18)</f>
        <v>4.2</v>
      </c>
      <c r="BQ15" s="320">
        <f>ABS(BP15*$BR$7)</f>
        <v>0.75600000000000001</v>
      </c>
      <c r="BR15" s="321">
        <f>ABS(Y14*BQ15)</f>
        <v>0.16632</v>
      </c>
      <c r="BS15" s="73" t="s">
        <v>257</v>
      </c>
      <c r="BT15" s="69" t="s">
        <v>258</v>
      </c>
      <c r="BU15" s="69" t="s">
        <v>259</v>
      </c>
      <c r="BV15" s="70">
        <v>0.3</v>
      </c>
      <c r="BW15" s="322">
        <f>SUM(BV15:BV18)</f>
        <v>1</v>
      </c>
      <c r="BX15" s="99" t="s">
        <v>260</v>
      </c>
      <c r="BY15" s="99" t="s">
        <v>261</v>
      </c>
      <c r="BZ15" s="100" t="s">
        <v>262</v>
      </c>
      <c r="CA15" s="99" t="s">
        <v>263</v>
      </c>
      <c r="CB15" s="99" t="s">
        <v>264</v>
      </c>
      <c r="CC15" s="75">
        <v>3</v>
      </c>
      <c r="CD15" s="72">
        <f>(BV15*CC15)</f>
        <v>0.89999999999999991</v>
      </c>
      <c r="CE15" s="320">
        <f>SUM(CD15:CD18)</f>
        <v>3.1</v>
      </c>
      <c r="CF15" s="320">
        <f>ABS(CE15*$CG$7)</f>
        <v>0.372</v>
      </c>
      <c r="CG15" s="323">
        <f>ABS(Y14*CF15)</f>
        <v>8.1839999999999996E-2</v>
      </c>
      <c r="CH15" s="73" t="s">
        <v>265</v>
      </c>
      <c r="CI15" s="69" t="s">
        <v>266</v>
      </c>
      <c r="CJ15" s="69" t="s">
        <v>267</v>
      </c>
      <c r="CK15" s="70">
        <v>0.4</v>
      </c>
      <c r="CL15" s="322">
        <f>SUM(CK15:CK18)</f>
        <v>1</v>
      </c>
      <c r="CM15" s="99" t="s">
        <v>268</v>
      </c>
      <c r="CN15" s="99" t="s">
        <v>269</v>
      </c>
      <c r="CO15" s="100" t="s">
        <v>270</v>
      </c>
      <c r="CP15" s="99" t="s">
        <v>271</v>
      </c>
      <c r="CQ15" s="99" t="s">
        <v>272</v>
      </c>
      <c r="CR15" s="75">
        <v>3</v>
      </c>
      <c r="CS15" s="72">
        <f>(CK15*CR15)</f>
        <v>1.2000000000000002</v>
      </c>
      <c r="CT15" s="320">
        <f>SUM(CS15:CS18)</f>
        <v>2.1500000000000004</v>
      </c>
      <c r="CU15" s="320">
        <f>ABS(CT15*$CV$7)</f>
        <v>0.32250000000000006</v>
      </c>
      <c r="CV15" s="323">
        <f>ABS(Y14*CU15)</f>
        <v>7.0950000000000013E-2</v>
      </c>
      <c r="CW15" s="338">
        <f>ABS(AM15+BB15+BQ15+CF15+CU15)</f>
        <v>2.7304999999999997</v>
      </c>
      <c r="CX15" s="339">
        <f>ABS(BC34)</f>
        <v>0.56349999999999989</v>
      </c>
      <c r="CY15" s="340">
        <f>ABS(CW15*Y14)</f>
        <v>0.60070999999999997</v>
      </c>
      <c r="CZ15" s="81"/>
      <c r="DB15" s="157">
        <f>ABS(CW30)</f>
        <v>2.6490000000000005</v>
      </c>
      <c r="DC15" s="158">
        <f>ABS(CY30)</f>
        <v>5.2980000000000013E-2</v>
      </c>
      <c r="DD15" s="111">
        <f>ABS(DC15/$DC$16)</f>
        <v>2.3286683779317141E-2</v>
      </c>
      <c r="DE15" s="158">
        <f>ABS(CX30)</f>
        <v>0.33390000000000003</v>
      </c>
      <c r="DF15" s="112">
        <f>ABS(DE15/$DE$16)</f>
        <v>0.14676148950385037</v>
      </c>
    </row>
    <row r="16" spans="2:110" ht="42.75" customHeight="1" x14ac:dyDescent="0.65">
      <c r="B16" s="331"/>
      <c r="C16" s="25" t="s">
        <v>273</v>
      </c>
      <c r="D16" s="149" t="s">
        <v>274</v>
      </c>
      <c r="E16" s="28">
        <v>0.05</v>
      </c>
      <c r="F16" s="28">
        <v>0.12</v>
      </c>
      <c r="G16" s="28">
        <v>0.08</v>
      </c>
      <c r="H16" s="28">
        <v>0.1</v>
      </c>
      <c r="I16" s="28">
        <v>7.0000000000000007E-2</v>
      </c>
      <c r="J16" s="28">
        <v>0.11</v>
      </c>
      <c r="K16" s="29">
        <v>0.08</v>
      </c>
      <c r="M16" s="303"/>
      <c r="N16" s="314"/>
      <c r="O16" s="159">
        <v>9</v>
      </c>
      <c r="P16" s="155" t="s">
        <v>187</v>
      </c>
      <c r="Q16" s="92" t="s">
        <v>188</v>
      </c>
      <c r="R16" s="156" t="s">
        <v>189</v>
      </c>
      <c r="S16" s="48">
        <v>0.25</v>
      </c>
      <c r="T16" s="49" t="s">
        <v>275</v>
      </c>
      <c r="V16" s="336" t="s">
        <v>276</v>
      </c>
      <c r="W16" s="336"/>
      <c r="X16" s="329" t="s">
        <v>277</v>
      </c>
      <c r="Y16" s="329"/>
      <c r="Z16" s="73" t="s">
        <v>278</v>
      </c>
      <c r="AA16" s="97" t="s">
        <v>279</v>
      </c>
      <c r="AB16" s="97" t="s">
        <v>280</v>
      </c>
      <c r="AC16" s="70">
        <v>0.3</v>
      </c>
      <c r="AD16" s="322"/>
      <c r="AE16" s="99" t="s">
        <v>281</v>
      </c>
      <c r="AF16" s="99" t="s">
        <v>282</v>
      </c>
      <c r="AG16" s="99" t="s">
        <v>283</v>
      </c>
      <c r="AH16" s="108" t="s">
        <v>284</v>
      </c>
      <c r="AI16" s="99" t="s">
        <v>285</v>
      </c>
      <c r="AJ16" s="75">
        <v>4</v>
      </c>
      <c r="AK16" s="72">
        <f>(AC16*AJ16)</f>
        <v>1.2</v>
      </c>
      <c r="AL16" s="320"/>
      <c r="AM16" s="320"/>
      <c r="AN16" s="337"/>
      <c r="AO16" s="68" t="s">
        <v>286</v>
      </c>
      <c r="AP16" s="69" t="s">
        <v>287</v>
      </c>
      <c r="AQ16" s="69" t="s">
        <v>288</v>
      </c>
      <c r="AR16" s="79">
        <v>0.3</v>
      </c>
      <c r="AS16" s="322"/>
      <c r="AT16" s="99" t="s">
        <v>289</v>
      </c>
      <c r="AU16" s="108" t="s">
        <v>290</v>
      </c>
      <c r="AV16" s="99" t="s">
        <v>291</v>
      </c>
      <c r="AW16" s="99" t="s">
        <v>291</v>
      </c>
      <c r="AX16" s="99" t="s">
        <v>292</v>
      </c>
      <c r="AY16" s="75">
        <v>2</v>
      </c>
      <c r="AZ16" s="72">
        <f>(AR16*AY16)</f>
        <v>0.6</v>
      </c>
      <c r="BA16" s="320"/>
      <c r="BB16" s="320"/>
      <c r="BC16" s="321"/>
      <c r="BD16" s="68" t="s">
        <v>293</v>
      </c>
      <c r="BE16" s="69" t="s">
        <v>294</v>
      </c>
      <c r="BF16" s="69" t="s">
        <v>295</v>
      </c>
      <c r="BG16" s="79">
        <v>0.4</v>
      </c>
      <c r="BH16" s="322"/>
      <c r="BI16" s="99" t="s">
        <v>296</v>
      </c>
      <c r="BJ16" s="99" t="s">
        <v>297</v>
      </c>
      <c r="BK16" s="99" t="s">
        <v>298</v>
      </c>
      <c r="BL16" s="99" t="s">
        <v>299</v>
      </c>
      <c r="BM16" s="99" t="s">
        <v>300</v>
      </c>
      <c r="BN16" s="75">
        <v>3</v>
      </c>
      <c r="BO16" s="72">
        <f>(BG16*BN16)</f>
        <v>1.2000000000000002</v>
      </c>
      <c r="BP16" s="320"/>
      <c r="BQ16" s="320"/>
      <c r="BR16" s="321"/>
      <c r="BS16" s="73" t="s">
        <v>301</v>
      </c>
      <c r="BT16" s="69" t="s">
        <v>302</v>
      </c>
      <c r="BU16" s="69" t="s">
        <v>303</v>
      </c>
      <c r="BV16" s="70">
        <v>0.4</v>
      </c>
      <c r="BW16" s="322"/>
      <c r="BX16" s="99" t="s">
        <v>304</v>
      </c>
      <c r="BY16" s="99" t="s">
        <v>305</v>
      </c>
      <c r="BZ16" s="99" t="s">
        <v>306</v>
      </c>
      <c r="CA16" s="100" t="s">
        <v>307</v>
      </c>
      <c r="CB16" s="99" t="s">
        <v>308</v>
      </c>
      <c r="CC16" s="75">
        <v>4</v>
      </c>
      <c r="CD16" s="72">
        <f>(BV16*CC16)</f>
        <v>1.6</v>
      </c>
      <c r="CE16" s="320"/>
      <c r="CF16" s="320"/>
      <c r="CG16" s="323"/>
      <c r="CH16" s="73" t="s">
        <v>309</v>
      </c>
      <c r="CI16" s="69" t="s">
        <v>310</v>
      </c>
      <c r="CJ16" s="69" t="s">
        <v>311</v>
      </c>
      <c r="CK16" s="70">
        <v>0.35</v>
      </c>
      <c r="CL16" s="322"/>
      <c r="CM16" s="99" t="s">
        <v>312</v>
      </c>
      <c r="CN16" s="100" t="s">
        <v>312</v>
      </c>
      <c r="CO16" s="99" t="s">
        <v>313</v>
      </c>
      <c r="CP16" s="99" t="s">
        <v>314</v>
      </c>
      <c r="CQ16" s="99" t="s">
        <v>315</v>
      </c>
      <c r="CR16" s="75">
        <v>2</v>
      </c>
      <c r="CS16" s="72">
        <f>(CK16*CR16)</f>
        <v>0.7</v>
      </c>
      <c r="CT16" s="320"/>
      <c r="CU16" s="320"/>
      <c r="CV16" s="323"/>
      <c r="CW16" s="338"/>
      <c r="CX16" s="339"/>
      <c r="CY16" s="340"/>
      <c r="CZ16" s="81"/>
      <c r="DB16" s="160">
        <f>SUM(DB11:DB15)</f>
        <v>13.709999999999999</v>
      </c>
      <c r="DC16" s="161">
        <f>SUM(DC11:DC15)</f>
        <v>2.2751199999999998</v>
      </c>
      <c r="DD16" s="162">
        <f>SUM(DD11:DD15)</f>
        <v>1</v>
      </c>
      <c r="DE16" s="163">
        <f>SUM(DE11:DE15)</f>
        <v>2.2751199999999998</v>
      </c>
      <c r="DF16" s="164">
        <f>SUM(DF11:DF15)</f>
        <v>1</v>
      </c>
    </row>
    <row r="17" spans="2:109" ht="42.75" customHeight="1" x14ac:dyDescent="0.4">
      <c r="B17" s="331"/>
      <c r="C17" s="165" t="s">
        <v>316</v>
      </c>
      <c r="D17" s="166" t="s">
        <v>317</v>
      </c>
      <c r="E17" s="88">
        <v>0.2</v>
      </c>
      <c r="F17" s="88">
        <v>0.15</v>
      </c>
      <c r="G17" s="88">
        <v>0.12</v>
      </c>
      <c r="H17" s="88">
        <v>0.1</v>
      </c>
      <c r="I17" s="88">
        <v>0.3</v>
      </c>
      <c r="J17" s="88">
        <v>0.2</v>
      </c>
      <c r="K17" s="89">
        <v>0.12</v>
      </c>
      <c r="M17" s="303"/>
      <c r="N17" s="314" t="s">
        <v>318</v>
      </c>
      <c r="O17" s="55">
        <v>10</v>
      </c>
      <c r="P17" s="150" t="s">
        <v>112</v>
      </c>
      <c r="Q17" s="57" t="s">
        <v>113</v>
      </c>
      <c r="R17" s="151" t="s">
        <v>114</v>
      </c>
      <c r="S17" s="40">
        <v>0.4</v>
      </c>
      <c r="T17" s="41" t="s">
        <v>319</v>
      </c>
      <c r="V17" s="341"/>
      <c r="W17" s="341"/>
      <c r="X17" s="342"/>
      <c r="Y17" s="342"/>
      <c r="Z17" s="73" t="s">
        <v>320</v>
      </c>
      <c r="AA17" s="97" t="s">
        <v>321</v>
      </c>
      <c r="AB17" s="97" t="s">
        <v>322</v>
      </c>
      <c r="AC17" s="70">
        <v>0.35</v>
      </c>
      <c r="AD17" s="322"/>
      <c r="AE17" s="99" t="s">
        <v>323</v>
      </c>
      <c r="AF17" s="99" t="s">
        <v>324</v>
      </c>
      <c r="AG17" s="108" t="s">
        <v>325</v>
      </c>
      <c r="AH17" s="99" t="s">
        <v>326</v>
      </c>
      <c r="AI17" s="99" t="s">
        <v>327</v>
      </c>
      <c r="AJ17" s="75">
        <v>3</v>
      </c>
      <c r="AK17" s="72">
        <f>(AC17*AJ17)</f>
        <v>1.0499999999999998</v>
      </c>
      <c r="AL17" s="320"/>
      <c r="AM17" s="320"/>
      <c r="AN17" s="337"/>
      <c r="AO17" s="68" t="s">
        <v>328</v>
      </c>
      <c r="AP17" s="69" t="s">
        <v>329</v>
      </c>
      <c r="AQ17" s="69" t="s">
        <v>330</v>
      </c>
      <c r="AR17" s="79">
        <v>0.3</v>
      </c>
      <c r="AS17" s="322"/>
      <c r="AT17" s="99" t="s">
        <v>331</v>
      </c>
      <c r="AU17" s="108" t="s">
        <v>332</v>
      </c>
      <c r="AV17" s="99" t="s">
        <v>333</v>
      </c>
      <c r="AW17" s="99" t="s">
        <v>334</v>
      </c>
      <c r="AX17" s="99" t="s">
        <v>335</v>
      </c>
      <c r="AY17" s="75">
        <v>2</v>
      </c>
      <c r="AZ17" s="72">
        <f>(AR17*AY17)</f>
        <v>0.6</v>
      </c>
      <c r="BA17" s="320"/>
      <c r="BB17" s="320"/>
      <c r="BC17" s="321"/>
      <c r="BD17" s="167"/>
      <c r="BE17" s="121"/>
      <c r="BF17" s="121"/>
      <c r="BG17" s="168"/>
      <c r="BH17" s="322"/>
      <c r="BI17" s="169"/>
      <c r="BJ17" s="169"/>
      <c r="BK17" s="169"/>
      <c r="BL17" s="169"/>
      <c r="BM17" s="169"/>
      <c r="BN17" s="170"/>
      <c r="BO17" s="72"/>
      <c r="BP17" s="320"/>
      <c r="BQ17" s="320"/>
      <c r="BR17" s="321"/>
      <c r="BS17" s="68" t="s">
        <v>336</v>
      </c>
      <c r="BT17" s="69" t="s">
        <v>337</v>
      </c>
      <c r="BU17" s="69" t="s">
        <v>338</v>
      </c>
      <c r="BV17" s="79">
        <v>0.3</v>
      </c>
      <c r="BW17" s="322"/>
      <c r="BX17" s="99" t="s">
        <v>339</v>
      </c>
      <c r="BY17" s="100" t="s">
        <v>340</v>
      </c>
      <c r="BZ17" s="99" t="s">
        <v>341</v>
      </c>
      <c r="CA17" s="99" t="s">
        <v>342</v>
      </c>
      <c r="CB17" s="99" t="s">
        <v>343</v>
      </c>
      <c r="CC17" s="75">
        <v>2</v>
      </c>
      <c r="CD17" s="72">
        <f>(BV17*CC17)</f>
        <v>0.6</v>
      </c>
      <c r="CE17" s="320"/>
      <c r="CF17" s="320"/>
      <c r="CG17" s="323"/>
      <c r="CH17" s="68" t="s">
        <v>344</v>
      </c>
      <c r="CI17" s="69" t="s">
        <v>345</v>
      </c>
      <c r="CJ17" s="69" t="s">
        <v>346</v>
      </c>
      <c r="CK17" s="79">
        <v>0.25</v>
      </c>
      <c r="CL17" s="322"/>
      <c r="CM17" s="100" t="s">
        <v>347</v>
      </c>
      <c r="CN17" s="99" t="s">
        <v>348</v>
      </c>
      <c r="CO17" s="99" t="s">
        <v>349</v>
      </c>
      <c r="CP17" s="99" t="s">
        <v>350</v>
      </c>
      <c r="CQ17" s="99" t="s">
        <v>351</v>
      </c>
      <c r="CR17" s="75">
        <v>1</v>
      </c>
      <c r="CS17" s="72">
        <f>(CK17*CR17)</f>
        <v>0.25</v>
      </c>
      <c r="CT17" s="320"/>
      <c r="CU17" s="320"/>
      <c r="CV17" s="323"/>
      <c r="CW17" s="338"/>
      <c r="CX17" s="339"/>
      <c r="CY17" s="340"/>
      <c r="CZ17" s="81"/>
      <c r="DC17" s="171" t="s">
        <v>352</v>
      </c>
    </row>
    <row r="18" spans="2:109" ht="42.75" customHeight="1" x14ac:dyDescent="0.35">
      <c r="B18" s="331"/>
      <c r="C18" s="343" t="s">
        <v>175</v>
      </c>
      <c r="D18" s="343"/>
      <c r="E18" s="113">
        <f t="shared" ref="E18:K18" si="1">SUM(E13:E17)</f>
        <v>1</v>
      </c>
      <c r="F18" s="113">
        <f t="shared" si="1"/>
        <v>1</v>
      </c>
      <c r="G18" s="113">
        <f t="shared" si="1"/>
        <v>0.99999999999999989</v>
      </c>
      <c r="H18" s="113">
        <f t="shared" si="1"/>
        <v>1</v>
      </c>
      <c r="I18" s="113">
        <f t="shared" si="1"/>
        <v>1</v>
      </c>
      <c r="J18" s="113">
        <f t="shared" si="1"/>
        <v>1</v>
      </c>
      <c r="K18" s="114">
        <f t="shared" si="1"/>
        <v>1</v>
      </c>
      <c r="M18" s="303"/>
      <c r="N18" s="314"/>
      <c r="O18" s="90">
        <v>11</v>
      </c>
      <c r="P18" s="155" t="s">
        <v>159</v>
      </c>
      <c r="Q18" s="92" t="s">
        <v>160</v>
      </c>
      <c r="R18" s="172" t="s">
        <v>161</v>
      </c>
      <c r="S18" s="94">
        <v>0.3</v>
      </c>
      <c r="T18" s="95" t="s">
        <v>353</v>
      </c>
      <c r="V18" s="344"/>
      <c r="W18" s="344"/>
      <c r="X18" s="345"/>
      <c r="Y18" s="345"/>
      <c r="Z18" s="173"/>
      <c r="AA18" s="132"/>
      <c r="AB18" s="132"/>
      <c r="AC18" s="133"/>
      <c r="AD18" s="322"/>
      <c r="AE18" s="134"/>
      <c r="AF18" s="134"/>
      <c r="AG18" s="134"/>
      <c r="AH18" s="134"/>
      <c r="AI18" s="134"/>
      <c r="AJ18" s="136"/>
      <c r="AK18" s="136"/>
      <c r="AL18" s="320"/>
      <c r="AM18" s="320"/>
      <c r="AN18" s="337"/>
      <c r="AO18" s="145"/>
      <c r="AP18" s="136"/>
      <c r="AQ18" s="136"/>
      <c r="AR18" s="136"/>
      <c r="AS18" s="322"/>
      <c r="AT18" s="134"/>
      <c r="AU18" s="134"/>
      <c r="AV18" s="134"/>
      <c r="AW18" s="134"/>
      <c r="AX18" s="134"/>
      <c r="AY18" s="136"/>
      <c r="AZ18" s="136"/>
      <c r="BA18" s="320"/>
      <c r="BB18" s="320"/>
      <c r="BC18" s="321"/>
      <c r="BD18" s="145"/>
      <c r="BE18" s="136"/>
      <c r="BF18" s="136"/>
      <c r="BG18" s="146"/>
      <c r="BH18" s="322"/>
      <c r="BI18" s="134"/>
      <c r="BJ18" s="134"/>
      <c r="BK18" s="134"/>
      <c r="BL18" s="134"/>
      <c r="BM18" s="134"/>
      <c r="BN18" s="148"/>
      <c r="BO18" s="144"/>
      <c r="BP18" s="320"/>
      <c r="BQ18" s="320"/>
      <c r="BR18" s="321"/>
      <c r="BS18" s="174"/>
      <c r="BT18" s="175"/>
      <c r="BU18" s="175"/>
      <c r="BV18" s="176"/>
      <c r="BW18" s="322"/>
      <c r="BX18" s="134"/>
      <c r="BY18" s="134"/>
      <c r="BZ18" s="134"/>
      <c r="CA18" s="134"/>
      <c r="CB18" s="134"/>
      <c r="CC18" s="148"/>
      <c r="CD18" s="144"/>
      <c r="CE18" s="320"/>
      <c r="CF18" s="320"/>
      <c r="CG18" s="323"/>
      <c r="CH18" s="174"/>
      <c r="CI18" s="175"/>
      <c r="CJ18" s="175"/>
      <c r="CK18" s="176"/>
      <c r="CL18" s="322"/>
      <c r="CM18" s="134"/>
      <c r="CN18" s="134"/>
      <c r="CO18" s="134"/>
      <c r="CP18" s="134"/>
      <c r="CQ18" s="134"/>
      <c r="CR18" s="148"/>
      <c r="CS18" s="144"/>
      <c r="CT18" s="320"/>
      <c r="CU18" s="320"/>
      <c r="CV18" s="323"/>
      <c r="CW18" s="338"/>
      <c r="CX18" s="339"/>
      <c r="CY18" s="340"/>
      <c r="CZ18" s="81"/>
    </row>
    <row r="19" spans="2:109" ht="42.75" customHeight="1" x14ac:dyDescent="0.35">
      <c r="E19" s="177" t="s">
        <v>354</v>
      </c>
      <c r="F19" s="178" t="s">
        <v>355</v>
      </c>
      <c r="G19" s="178" t="s">
        <v>356</v>
      </c>
      <c r="H19" s="178" t="s">
        <v>357</v>
      </c>
      <c r="I19" s="178" t="s">
        <v>358</v>
      </c>
      <c r="J19" s="178" t="s">
        <v>359</v>
      </c>
      <c r="K19" s="179" t="s">
        <v>360</v>
      </c>
      <c r="M19" s="303"/>
      <c r="N19" s="314"/>
      <c r="O19" s="159">
        <v>12</v>
      </c>
      <c r="P19" s="155" t="s">
        <v>195</v>
      </c>
      <c r="Q19" s="92" t="s">
        <v>196</v>
      </c>
      <c r="R19" s="172" t="s">
        <v>197</v>
      </c>
      <c r="S19" s="48">
        <v>0.3</v>
      </c>
      <c r="T19" s="49" t="s">
        <v>361</v>
      </c>
      <c r="V19" s="346" t="s">
        <v>362</v>
      </c>
      <c r="W19" s="346"/>
      <c r="X19" s="346"/>
      <c r="Y19" s="152">
        <v>0.18</v>
      </c>
      <c r="Z19" s="335"/>
      <c r="AA19" s="335"/>
      <c r="AB19" s="335"/>
      <c r="AC19" s="335"/>
      <c r="AD19" s="335"/>
      <c r="AE19" s="335"/>
      <c r="AF19" s="335"/>
      <c r="AG19" s="335"/>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c r="BD19" s="335"/>
      <c r="BE19" s="335"/>
      <c r="BF19" s="335"/>
      <c r="BG19" s="335"/>
      <c r="BH19" s="335"/>
      <c r="BI19" s="335"/>
      <c r="BJ19" s="335"/>
      <c r="BK19" s="335"/>
      <c r="BL19" s="335"/>
      <c r="BM19" s="335"/>
      <c r="BN19" s="335"/>
      <c r="BO19" s="335"/>
      <c r="BP19" s="335"/>
      <c r="BQ19" s="335"/>
      <c r="BR19" s="335"/>
      <c r="BS19" s="335"/>
      <c r="BT19" s="335"/>
      <c r="BU19" s="335"/>
      <c r="BV19" s="335"/>
      <c r="BW19" s="335"/>
      <c r="BX19" s="335"/>
      <c r="BY19" s="335"/>
      <c r="BZ19" s="335"/>
      <c r="CA19" s="335"/>
      <c r="CB19" s="335"/>
      <c r="CC19" s="335"/>
      <c r="CD19" s="335"/>
      <c r="CE19" s="335"/>
      <c r="CF19" s="335"/>
      <c r="CG19" s="335"/>
      <c r="CH19" s="335"/>
      <c r="CI19" s="335"/>
      <c r="CJ19" s="335"/>
      <c r="CK19" s="335"/>
      <c r="CL19" s="335"/>
      <c r="CM19" s="335"/>
      <c r="CN19" s="335"/>
      <c r="CO19" s="335"/>
      <c r="CP19" s="335"/>
      <c r="CQ19" s="335"/>
      <c r="CR19" s="335"/>
      <c r="CS19" s="335"/>
      <c r="CT19" s="335"/>
      <c r="CU19" s="335"/>
      <c r="CV19" s="335"/>
      <c r="CW19" s="347"/>
      <c r="CX19" s="347"/>
      <c r="CY19" s="347"/>
      <c r="CZ19" s="180"/>
      <c r="DB19" s="348" t="s">
        <v>363</v>
      </c>
      <c r="DC19" s="348"/>
      <c r="DD19" s="348"/>
      <c r="DE19" s="348"/>
    </row>
    <row r="20" spans="2:109" ht="42.75" customHeight="1" x14ac:dyDescent="0.4">
      <c r="E20" s="181" t="s">
        <v>364</v>
      </c>
      <c r="F20" s="182" t="s">
        <v>365</v>
      </c>
      <c r="G20" s="182" t="s">
        <v>366</v>
      </c>
      <c r="H20" s="182" t="s">
        <v>367</v>
      </c>
      <c r="I20" s="182" t="s">
        <v>368</v>
      </c>
      <c r="J20" s="182" t="s">
        <v>369</v>
      </c>
      <c r="K20" s="183" t="s">
        <v>370</v>
      </c>
      <c r="M20" s="303"/>
      <c r="N20" s="349" t="s">
        <v>371</v>
      </c>
      <c r="O20" s="55">
        <v>13</v>
      </c>
      <c r="P20" s="56" t="s">
        <v>120</v>
      </c>
      <c r="Q20" s="184" t="s">
        <v>121</v>
      </c>
      <c r="R20" s="185" t="s">
        <v>122</v>
      </c>
      <c r="S20" s="40">
        <v>0.35</v>
      </c>
      <c r="T20" s="41" t="s">
        <v>372</v>
      </c>
      <c r="V20" s="350" t="s">
        <v>373</v>
      </c>
      <c r="W20" s="350"/>
      <c r="X20" s="329" t="s">
        <v>374</v>
      </c>
      <c r="Y20" s="329"/>
      <c r="Z20" s="68" t="s">
        <v>375</v>
      </c>
      <c r="AA20" s="97" t="s">
        <v>376</v>
      </c>
      <c r="AB20" s="97" t="s">
        <v>377</v>
      </c>
      <c r="AC20" s="79">
        <v>0.6</v>
      </c>
      <c r="AD20" s="322">
        <f>SUM(AC20:AC23)</f>
        <v>1</v>
      </c>
      <c r="AE20" s="99" t="s">
        <v>378</v>
      </c>
      <c r="AF20" s="100" t="s">
        <v>379</v>
      </c>
      <c r="AG20" s="99" t="s">
        <v>380</v>
      </c>
      <c r="AH20" s="99" t="s">
        <v>381</v>
      </c>
      <c r="AI20" s="99" t="s">
        <v>382</v>
      </c>
      <c r="AJ20" s="75">
        <v>2</v>
      </c>
      <c r="AK20" s="72">
        <f>(AC20*AJ20)</f>
        <v>1.2</v>
      </c>
      <c r="AL20" s="320">
        <f>SUM(AK20:AK23)</f>
        <v>2.8</v>
      </c>
      <c r="AM20" s="318">
        <f>ABS($AN$7*AL20)</f>
        <v>0.84</v>
      </c>
      <c r="AN20" s="337">
        <f>ABS(Y19*AM20)</f>
        <v>0.1512</v>
      </c>
      <c r="AO20" s="68" t="s">
        <v>383</v>
      </c>
      <c r="AP20" s="69" t="s">
        <v>384</v>
      </c>
      <c r="AQ20" s="69" t="s">
        <v>385</v>
      </c>
      <c r="AR20" s="79">
        <v>0.35</v>
      </c>
      <c r="AS20" s="322">
        <f>SUM(AR20:AR23)</f>
        <v>1</v>
      </c>
      <c r="AT20" s="99" t="s">
        <v>386</v>
      </c>
      <c r="AU20" s="99" t="s">
        <v>387</v>
      </c>
      <c r="AV20" s="99" t="s">
        <v>388</v>
      </c>
      <c r="AW20" s="100" t="s">
        <v>389</v>
      </c>
      <c r="AX20" s="99" t="s">
        <v>390</v>
      </c>
      <c r="AY20" s="75">
        <v>4</v>
      </c>
      <c r="AZ20" s="72">
        <f>(AR20*AY20)</f>
        <v>1.4</v>
      </c>
      <c r="BA20" s="320">
        <f>SUM(AZ20:AZ23)</f>
        <v>2.7</v>
      </c>
      <c r="BB20" s="320">
        <f>ABS(BA20*$BC$7)</f>
        <v>0.67500000000000004</v>
      </c>
      <c r="BC20" s="321">
        <f>ABS(Y19*BB20)</f>
        <v>0.1215</v>
      </c>
      <c r="BD20" s="68" t="s">
        <v>391</v>
      </c>
      <c r="BE20" s="69" t="s">
        <v>392</v>
      </c>
      <c r="BF20" s="69" t="s">
        <v>393</v>
      </c>
      <c r="BG20" s="70">
        <v>0.45</v>
      </c>
      <c r="BH20" s="322">
        <f>SUM(BG20:BG23)</f>
        <v>1</v>
      </c>
      <c r="BI20" s="99" t="s">
        <v>394</v>
      </c>
      <c r="BJ20" s="99" t="s">
        <v>395</v>
      </c>
      <c r="BK20" s="100" t="s">
        <v>396</v>
      </c>
      <c r="BL20" s="99" t="s">
        <v>397</v>
      </c>
      <c r="BM20" s="99" t="s">
        <v>398</v>
      </c>
      <c r="BN20" s="75">
        <v>3</v>
      </c>
      <c r="BO20" s="72">
        <f>(BG20*BN20)</f>
        <v>1.35</v>
      </c>
      <c r="BP20" s="320">
        <f>SUM(BO20:BO23)</f>
        <v>3</v>
      </c>
      <c r="BQ20" s="320">
        <f>ABS(BP20*$BR$7)</f>
        <v>0.54</v>
      </c>
      <c r="BR20" s="321">
        <f>ABS(Y19*BQ20)</f>
        <v>9.7200000000000009E-2</v>
      </c>
      <c r="BS20" s="68" t="s">
        <v>399</v>
      </c>
      <c r="BT20" s="69" t="s">
        <v>400</v>
      </c>
      <c r="BU20" s="69" t="s">
        <v>401</v>
      </c>
      <c r="BV20" s="70">
        <v>0.6</v>
      </c>
      <c r="BW20" s="322">
        <f>SUM(BV20:BV23)</f>
        <v>1</v>
      </c>
      <c r="BX20" s="99" t="s">
        <v>402</v>
      </c>
      <c r="BY20" s="99" t="s">
        <v>403</v>
      </c>
      <c r="BZ20" s="100" t="s">
        <v>404</v>
      </c>
      <c r="CA20" s="99" t="s">
        <v>405</v>
      </c>
      <c r="CB20" s="99" t="s">
        <v>406</v>
      </c>
      <c r="CC20" s="75">
        <v>3</v>
      </c>
      <c r="CD20" s="72">
        <f>(BV20*CC20)</f>
        <v>1.7999999999999998</v>
      </c>
      <c r="CE20" s="320">
        <f>SUM(CD20:CD23)</f>
        <v>3</v>
      </c>
      <c r="CF20" s="320">
        <f>ABS(CE20*$CG$7)</f>
        <v>0.36</v>
      </c>
      <c r="CG20" s="323">
        <f>ABS(Y19*CF20)</f>
        <v>6.4799999999999996E-2</v>
      </c>
      <c r="CH20" s="68" t="s">
        <v>407</v>
      </c>
      <c r="CI20" s="69" t="s">
        <v>408</v>
      </c>
      <c r="CJ20" s="69" t="s">
        <v>409</v>
      </c>
      <c r="CK20" s="70">
        <v>0.55000000000000004</v>
      </c>
      <c r="CL20" s="322">
        <f>SUM(CK20:CK23)</f>
        <v>1</v>
      </c>
      <c r="CM20" s="186" t="s">
        <v>410</v>
      </c>
      <c r="CN20" s="99" t="s">
        <v>411</v>
      </c>
      <c r="CO20" s="100" t="s">
        <v>412</v>
      </c>
      <c r="CP20" s="99" t="s">
        <v>413</v>
      </c>
      <c r="CQ20" s="99" t="s">
        <v>414</v>
      </c>
      <c r="CR20" s="75">
        <v>3</v>
      </c>
      <c r="CS20" s="72">
        <f>(CK20*CR20)</f>
        <v>1.6500000000000001</v>
      </c>
      <c r="CT20" s="320">
        <f>SUM(CS20:CS23)</f>
        <v>2.5500000000000003</v>
      </c>
      <c r="CU20" s="320">
        <f>ABS(CT20*$CV$7)</f>
        <v>0.38250000000000001</v>
      </c>
      <c r="CV20" s="323">
        <f>ABS(Y19*CU20)</f>
        <v>6.8849999999999995E-2</v>
      </c>
      <c r="CW20" s="338">
        <f>ABS(AM20+BB20+BQ20+CF20+CU20)</f>
        <v>2.7974999999999999</v>
      </c>
      <c r="CX20" s="339">
        <f>ABS(BR34)</f>
        <v>0.41579999999999995</v>
      </c>
      <c r="CY20" s="340">
        <f>ABS(CW20*Y19)</f>
        <v>0.50354999999999994</v>
      </c>
      <c r="CZ20" s="81"/>
      <c r="DB20" s="187" t="s">
        <v>415</v>
      </c>
      <c r="DC20" s="188" t="s">
        <v>416</v>
      </c>
      <c r="DD20" s="188" t="s">
        <v>417</v>
      </c>
      <c r="DE20" s="189" t="s">
        <v>418</v>
      </c>
    </row>
    <row r="21" spans="2:109" ht="42.75" customHeight="1" x14ac:dyDescent="0.6">
      <c r="E21" s="181" t="s">
        <v>419</v>
      </c>
      <c r="F21" s="182" t="s">
        <v>420</v>
      </c>
      <c r="G21" s="182" t="s">
        <v>421</v>
      </c>
      <c r="H21" s="182" t="s">
        <v>422</v>
      </c>
      <c r="I21" s="182" t="s">
        <v>423</v>
      </c>
      <c r="J21" s="182" t="s">
        <v>424</v>
      </c>
      <c r="K21" s="183" t="s">
        <v>425</v>
      </c>
      <c r="M21" s="303"/>
      <c r="N21" s="349"/>
      <c r="O21" s="190">
        <v>14</v>
      </c>
      <c r="P21" s="191" t="s">
        <v>167</v>
      </c>
      <c r="Q21" s="192" t="s">
        <v>168</v>
      </c>
      <c r="R21" s="193" t="s">
        <v>169</v>
      </c>
      <c r="S21" s="194">
        <v>0.3</v>
      </c>
      <c r="T21" s="95" t="s">
        <v>426</v>
      </c>
      <c r="V21" s="351" t="s">
        <v>427</v>
      </c>
      <c r="W21" s="351"/>
      <c r="X21" s="329" t="s">
        <v>428</v>
      </c>
      <c r="Y21" s="329"/>
      <c r="Z21" s="68" t="s">
        <v>429</v>
      </c>
      <c r="AA21" s="97" t="s">
        <v>430</v>
      </c>
      <c r="AB21" s="97" t="s">
        <v>431</v>
      </c>
      <c r="AC21" s="79">
        <v>0.4</v>
      </c>
      <c r="AD21" s="322"/>
      <c r="AE21" s="99" t="s">
        <v>432</v>
      </c>
      <c r="AF21" s="99" t="s">
        <v>433</v>
      </c>
      <c r="AG21" s="99" t="s">
        <v>434</v>
      </c>
      <c r="AH21" s="100" t="s">
        <v>435</v>
      </c>
      <c r="AI21" s="99" t="s">
        <v>436</v>
      </c>
      <c r="AJ21" s="75">
        <v>4</v>
      </c>
      <c r="AK21" s="72">
        <f>(AC21*AJ21)</f>
        <v>1.6</v>
      </c>
      <c r="AL21" s="320"/>
      <c r="AM21" s="320"/>
      <c r="AN21" s="337"/>
      <c r="AO21" s="68" t="s">
        <v>437</v>
      </c>
      <c r="AP21" s="69" t="s">
        <v>438</v>
      </c>
      <c r="AQ21" s="69" t="s">
        <v>439</v>
      </c>
      <c r="AR21" s="79">
        <v>0.4</v>
      </c>
      <c r="AS21" s="322"/>
      <c r="AT21" s="99" t="s">
        <v>440</v>
      </c>
      <c r="AU21" s="100" t="s">
        <v>441</v>
      </c>
      <c r="AV21" s="99" t="s">
        <v>442</v>
      </c>
      <c r="AW21" s="99" t="s">
        <v>443</v>
      </c>
      <c r="AX21" s="99" t="s">
        <v>444</v>
      </c>
      <c r="AY21" s="75">
        <v>2</v>
      </c>
      <c r="AZ21" s="72">
        <f>(AR21*AY21)</f>
        <v>0.8</v>
      </c>
      <c r="BA21" s="320"/>
      <c r="BB21" s="320"/>
      <c r="BC21" s="321"/>
      <c r="BD21" s="195" t="s">
        <v>445</v>
      </c>
      <c r="BE21" s="69" t="s">
        <v>446</v>
      </c>
      <c r="BF21" s="69" t="s">
        <v>447</v>
      </c>
      <c r="BG21" s="70">
        <v>0.55000000000000004</v>
      </c>
      <c r="BH21" s="322"/>
      <c r="BI21" s="99" t="s">
        <v>448</v>
      </c>
      <c r="BJ21" s="99" t="s">
        <v>449</v>
      </c>
      <c r="BK21" s="100" t="s">
        <v>450</v>
      </c>
      <c r="BL21" s="99" t="s">
        <v>451</v>
      </c>
      <c r="BM21" s="99" t="s">
        <v>452</v>
      </c>
      <c r="BN21" s="75">
        <v>3</v>
      </c>
      <c r="BO21" s="72">
        <f>(BG21*BN21)</f>
        <v>1.6500000000000001</v>
      </c>
      <c r="BP21" s="320"/>
      <c r="BQ21" s="320"/>
      <c r="BR21" s="321"/>
      <c r="BS21" s="195" t="s">
        <v>453</v>
      </c>
      <c r="BT21" s="69" t="s">
        <v>454</v>
      </c>
      <c r="BU21" s="69" t="s">
        <v>455</v>
      </c>
      <c r="BV21" s="70">
        <v>0.4</v>
      </c>
      <c r="BW21" s="322"/>
      <c r="BX21" s="99" t="s">
        <v>456</v>
      </c>
      <c r="BY21" s="99" t="s">
        <v>457</v>
      </c>
      <c r="BZ21" s="100" t="s">
        <v>458</v>
      </c>
      <c r="CA21" s="99" t="s">
        <v>459</v>
      </c>
      <c r="CB21" s="99" t="s">
        <v>460</v>
      </c>
      <c r="CC21" s="75">
        <v>3</v>
      </c>
      <c r="CD21" s="72">
        <f>(BV21*CC21)</f>
        <v>1.2000000000000002</v>
      </c>
      <c r="CE21" s="320"/>
      <c r="CF21" s="320"/>
      <c r="CG21" s="323"/>
      <c r="CH21" s="195" t="s">
        <v>461</v>
      </c>
      <c r="CI21" s="69" t="s">
        <v>462</v>
      </c>
      <c r="CJ21" s="69" t="s">
        <v>463</v>
      </c>
      <c r="CK21" s="70">
        <v>0.45</v>
      </c>
      <c r="CL21" s="322"/>
      <c r="CM21" s="186" t="s">
        <v>464</v>
      </c>
      <c r="CN21" s="100" t="s">
        <v>465</v>
      </c>
      <c r="CO21" s="99" t="s">
        <v>466</v>
      </c>
      <c r="CP21" s="99" t="s">
        <v>467</v>
      </c>
      <c r="CQ21" s="99" t="s">
        <v>468</v>
      </c>
      <c r="CR21" s="75">
        <v>2</v>
      </c>
      <c r="CS21" s="72">
        <f>(CK21*CR21)</f>
        <v>0.9</v>
      </c>
      <c r="CT21" s="320"/>
      <c r="CU21" s="320"/>
      <c r="CV21" s="323"/>
      <c r="CW21" s="338"/>
      <c r="CX21" s="339"/>
      <c r="CY21" s="340"/>
      <c r="CZ21" s="81"/>
      <c r="DB21" s="196" t="s">
        <v>469</v>
      </c>
      <c r="DC21" s="197" t="s">
        <v>470</v>
      </c>
      <c r="DD21" s="352">
        <f>ABS((DC16/5)*100)</f>
        <v>45.502400000000002</v>
      </c>
      <c r="DE21" s="198" t="s">
        <v>471</v>
      </c>
    </row>
    <row r="22" spans="2:109" ht="42.75" customHeight="1" x14ac:dyDescent="0.6">
      <c r="E22" s="199" t="s">
        <v>472</v>
      </c>
      <c r="F22" s="200" t="s">
        <v>473</v>
      </c>
      <c r="G22" s="200" t="s">
        <v>474</v>
      </c>
      <c r="H22" s="200" t="s">
        <v>475</v>
      </c>
      <c r="I22" s="200" t="s">
        <v>476</v>
      </c>
      <c r="J22" s="200" t="s">
        <v>477</v>
      </c>
      <c r="K22" s="201" t="s">
        <v>478</v>
      </c>
      <c r="M22" s="303"/>
      <c r="N22" s="349"/>
      <c r="O22" s="202">
        <v>15</v>
      </c>
      <c r="P22" s="203" t="s">
        <v>202</v>
      </c>
      <c r="Q22" s="204" t="s">
        <v>203</v>
      </c>
      <c r="R22" s="205" t="s">
        <v>204</v>
      </c>
      <c r="S22" s="206">
        <v>0.35</v>
      </c>
      <c r="T22" s="207" t="s">
        <v>479</v>
      </c>
      <c r="V22" s="351"/>
      <c r="W22" s="351"/>
      <c r="X22" s="353"/>
      <c r="Y22" s="353"/>
      <c r="Z22" s="208"/>
      <c r="AA22" s="116"/>
      <c r="AB22" s="116"/>
      <c r="AC22" s="209"/>
      <c r="AD22" s="322"/>
      <c r="AE22" s="169"/>
      <c r="AF22" s="169"/>
      <c r="AG22" s="169"/>
      <c r="AH22" s="169"/>
      <c r="AI22" s="169"/>
      <c r="AJ22" s="170"/>
      <c r="AK22" s="72"/>
      <c r="AL22" s="320"/>
      <c r="AM22" s="320"/>
      <c r="AN22" s="337"/>
      <c r="AO22" s="68" t="s">
        <v>480</v>
      </c>
      <c r="AP22" s="69" t="s">
        <v>481</v>
      </c>
      <c r="AQ22" s="69" t="s">
        <v>482</v>
      </c>
      <c r="AR22" s="79">
        <v>0.25</v>
      </c>
      <c r="AS22" s="322"/>
      <c r="AT22" s="99" t="s">
        <v>483</v>
      </c>
      <c r="AU22" s="100" t="s">
        <v>484</v>
      </c>
      <c r="AV22" s="99" t="s">
        <v>485</v>
      </c>
      <c r="AW22" s="99" t="s">
        <v>486</v>
      </c>
      <c r="AX22" s="99" t="s">
        <v>487</v>
      </c>
      <c r="AY22" s="75">
        <v>2</v>
      </c>
      <c r="AZ22" s="72">
        <f>(AR22*AY22)</f>
        <v>0.5</v>
      </c>
      <c r="BA22" s="320"/>
      <c r="BB22" s="320"/>
      <c r="BC22" s="321"/>
      <c r="BD22" s="167"/>
      <c r="BE22" s="121"/>
      <c r="BF22" s="121"/>
      <c r="BG22" s="168"/>
      <c r="BH22" s="322"/>
      <c r="BI22" s="169"/>
      <c r="BJ22" s="169"/>
      <c r="BK22" s="169"/>
      <c r="BL22" s="169"/>
      <c r="BM22" s="169"/>
      <c r="BN22" s="170"/>
      <c r="BO22" s="72"/>
      <c r="BP22" s="320"/>
      <c r="BQ22" s="320"/>
      <c r="BR22" s="321"/>
      <c r="BS22" s="167"/>
      <c r="BT22" s="121"/>
      <c r="BU22" s="121"/>
      <c r="BV22" s="168"/>
      <c r="BW22" s="322"/>
      <c r="BX22" s="169"/>
      <c r="BY22" s="169"/>
      <c r="BZ22" s="169"/>
      <c r="CA22" s="169"/>
      <c r="CB22" s="169"/>
      <c r="CC22" s="170"/>
      <c r="CD22" s="72"/>
      <c r="CE22" s="320"/>
      <c r="CF22" s="320"/>
      <c r="CG22" s="323"/>
      <c r="CH22" s="167"/>
      <c r="CI22" s="121"/>
      <c r="CJ22" s="121"/>
      <c r="CK22" s="168"/>
      <c r="CL22" s="322"/>
      <c r="CM22" s="169"/>
      <c r="CN22" s="169"/>
      <c r="CO22" s="169"/>
      <c r="CP22" s="169"/>
      <c r="CQ22" s="169"/>
      <c r="CR22" s="170"/>
      <c r="CS22" s="72"/>
      <c r="CT22" s="320"/>
      <c r="CU22" s="320"/>
      <c r="CV22" s="323"/>
      <c r="CW22" s="338"/>
      <c r="CX22" s="339"/>
      <c r="CY22" s="340"/>
      <c r="CZ22" s="81"/>
      <c r="DB22" s="210" t="s">
        <v>488</v>
      </c>
      <c r="DC22" s="211">
        <v>3</v>
      </c>
      <c r="DD22" s="352"/>
      <c r="DE22" s="212" t="s">
        <v>489</v>
      </c>
    </row>
    <row r="23" spans="2:109" ht="42.75" customHeight="1" x14ac:dyDescent="0.6">
      <c r="M23" s="303" t="s">
        <v>490</v>
      </c>
      <c r="N23" s="304" t="s">
        <v>54</v>
      </c>
      <c r="O23" s="36">
        <v>16</v>
      </c>
      <c r="P23" s="213" t="s">
        <v>233</v>
      </c>
      <c r="Q23" s="214" t="s">
        <v>234</v>
      </c>
      <c r="R23" s="215" t="s">
        <v>235</v>
      </c>
      <c r="S23" s="40">
        <v>0.35</v>
      </c>
      <c r="T23" s="41" t="s">
        <v>491</v>
      </c>
      <c r="V23" s="354"/>
      <c r="W23" s="354"/>
      <c r="X23" s="355"/>
      <c r="Y23" s="355"/>
      <c r="Z23" s="173"/>
      <c r="AA23" s="132"/>
      <c r="AB23" s="132"/>
      <c r="AC23" s="216"/>
      <c r="AD23" s="322"/>
      <c r="AE23" s="134"/>
      <c r="AF23" s="134"/>
      <c r="AG23" s="134"/>
      <c r="AH23" s="134"/>
      <c r="AI23" s="134"/>
      <c r="AJ23" s="136"/>
      <c r="AK23" s="136"/>
      <c r="AL23" s="320"/>
      <c r="AM23" s="320"/>
      <c r="AN23" s="337"/>
      <c r="AO23" s="145"/>
      <c r="AP23" s="136"/>
      <c r="AQ23" s="136"/>
      <c r="AR23" s="136"/>
      <c r="AS23" s="322"/>
      <c r="AT23" s="134"/>
      <c r="AU23" s="134"/>
      <c r="AV23" s="134"/>
      <c r="AW23" s="134"/>
      <c r="AX23" s="134"/>
      <c r="AY23" s="136"/>
      <c r="AZ23" s="136"/>
      <c r="BA23" s="320"/>
      <c r="BB23" s="320"/>
      <c r="BC23" s="321"/>
      <c r="BD23" s="145"/>
      <c r="BE23" s="136"/>
      <c r="BF23" s="136"/>
      <c r="BG23" s="146"/>
      <c r="BH23" s="322"/>
      <c r="BI23" s="134"/>
      <c r="BJ23" s="134"/>
      <c r="BK23" s="134"/>
      <c r="BL23" s="134"/>
      <c r="BM23" s="134"/>
      <c r="BN23" s="136"/>
      <c r="BO23" s="136"/>
      <c r="BP23" s="320"/>
      <c r="BQ23" s="320"/>
      <c r="BR23" s="321"/>
      <c r="BS23" s="145"/>
      <c r="BT23" s="136"/>
      <c r="BU23" s="136"/>
      <c r="BV23" s="146"/>
      <c r="BW23" s="322"/>
      <c r="BX23" s="134"/>
      <c r="BY23" s="134"/>
      <c r="BZ23" s="134"/>
      <c r="CA23" s="134"/>
      <c r="CB23" s="134"/>
      <c r="CC23" s="136"/>
      <c r="CD23" s="136"/>
      <c r="CE23" s="320"/>
      <c r="CF23" s="320"/>
      <c r="CG23" s="323"/>
      <c r="CH23" s="145"/>
      <c r="CI23" s="136"/>
      <c r="CJ23" s="136"/>
      <c r="CK23" s="146"/>
      <c r="CL23" s="322"/>
      <c r="CM23" s="134"/>
      <c r="CN23" s="134"/>
      <c r="CO23" s="134"/>
      <c r="CP23" s="134"/>
      <c r="CQ23" s="134"/>
      <c r="CR23" s="136"/>
      <c r="CS23" s="136"/>
      <c r="CT23" s="320"/>
      <c r="CU23" s="320"/>
      <c r="CV23" s="323"/>
      <c r="CW23" s="338"/>
      <c r="CX23" s="339"/>
      <c r="CY23" s="340"/>
      <c r="CZ23" s="81"/>
      <c r="DB23" s="210" t="s">
        <v>492</v>
      </c>
      <c r="DC23" s="211">
        <v>4</v>
      </c>
      <c r="DD23" s="352"/>
      <c r="DE23" s="217" t="s">
        <v>493</v>
      </c>
    </row>
    <row r="24" spans="2:109" ht="42.75" customHeight="1" x14ac:dyDescent="0.6">
      <c r="M24" s="303"/>
      <c r="N24" s="304"/>
      <c r="O24" s="90">
        <v>17</v>
      </c>
      <c r="P24" s="155" t="s">
        <v>278</v>
      </c>
      <c r="Q24" s="218" t="s">
        <v>279</v>
      </c>
      <c r="R24" s="219" t="s">
        <v>280</v>
      </c>
      <c r="S24" s="94">
        <v>0.3</v>
      </c>
      <c r="T24" s="95" t="s">
        <v>494</v>
      </c>
      <c r="V24" s="346" t="s">
        <v>495</v>
      </c>
      <c r="W24" s="346"/>
      <c r="X24" s="346"/>
      <c r="Y24" s="152">
        <v>0.12</v>
      </c>
      <c r="Z24" s="335"/>
      <c r="AA24" s="335"/>
      <c r="AB24" s="335"/>
      <c r="AC24" s="335"/>
      <c r="AD24" s="335"/>
      <c r="AE24" s="335"/>
      <c r="AF24" s="335"/>
      <c r="AG24" s="335"/>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c r="BD24" s="335"/>
      <c r="BE24" s="335"/>
      <c r="BF24" s="335"/>
      <c r="BG24" s="335"/>
      <c r="BH24" s="335"/>
      <c r="BI24" s="335"/>
      <c r="BJ24" s="335"/>
      <c r="BK24" s="335"/>
      <c r="BL24" s="335"/>
      <c r="BM24" s="335"/>
      <c r="BN24" s="335"/>
      <c r="BO24" s="335"/>
      <c r="BP24" s="335"/>
      <c r="BQ24" s="335"/>
      <c r="BR24" s="335"/>
      <c r="BS24" s="335"/>
      <c r="BT24" s="335"/>
      <c r="BU24" s="335"/>
      <c r="BV24" s="335"/>
      <c r="BW24" s="335"/>
      <c r="BX24" s="335"/>
      <c r="BY24" s="335"/>
      <c r="BZ24" s="335"/>
      <c r="CA24" s="335"/>
      <c r="CB24" s="335"/>
      <c r="CC24" s="335"/>
      <c r="CD24" s="335"/>
      <c r="CE24" s="335"/>
      <c r="CF24" s="335"/>
      <c r="CG24" s="335"/>
      <c r="CH24" s="335"/>
      <c r="CI24" s="335"/>
      <c r="CJ24" s="335"/>
      <c r="CK24" s="335"/>
      <c r="CL24" s="335"/>
      <c r="CM24" s="335"/>
      <c r="CN24" s="335"/>
      <c r="CO24" s="335"/>
      <c r="CP24" s="335"/>
      <c r="CQ24" s="335"/>
      <c r="CR24" s="335"/>
      <c r="CS24" s="335"/>
      <c r="CT24" s="335"/>
      <c r="CU24" s="335"/>
      <c r="CV24" s="335"/>
      <c r="CW24" s="347"/>
      <c r="CX24" s="347"/>
      <c r="CY24" s="347"/>
      <c r="CZ24" s="180"/>
      <c r="DB24" s="220" t="s">
        <v>496</v>
      </c>
      <c r="DC24" s="221">
        <v>5</v>
      </c>
      <c r="DD24" s="352"/>
      <c r="DE24" s="222" t="s">
        <v>497</v>
      </c>
    </row>
    <row r="25" spans="2:109" ht="42.75" customHeight="1" x14ac:dyDescent="0.35">
      <c r="M25" s="303"/>
      <c r="N25" s="304"/>
      <c r="O25" s="159">
        <v>18</v>
      </c>
      <c r="P25" s="155" t="s">
        <v>320</v>
      </c>
      <c r="Q25" s="218" t="s">
        <v>321</v>
      </c>
      <c r="R25" s="219" t="s">
        <v>322</v>
      </c>
      <c r="S25" s="48">
        <v>0.35</v>
      </c>
      <c r="T25" s="95" t="s">
        <v>498</v>
      </c>
      <c r="V25" s="328" t="s">
        <v>499</v>
      </c>
      <c r="W25" s="328"/>
      <c r="X25" s="329" t="s">
        <v>500</v>
      </c>
      <c r="Y25" s="329"/>
      <c r="Z25" s="68" t="s">
        <v>501</v>
      </c>
      <c r="AA25" s="97" t="s">
        <v>502</v>
      </c>
      <c r="AB25" s="97" t="s">
        <v>503</v>
      </c>
      <c r="AC25" s="79">
        <v>0.45</v>
      </c>
      <c r="AD25" s="322">
        <f>SUM(AC25:AC28)</f>
        <v>1</v>
      </c>
      <c r="AE25" s="100" t="s">
        <v>504</v>
      </c>
      <c r="AF25" s="99" t="s">
        <v>505</v>
      </c>
      <c r="AG25" s="99" t="s">
        <v>506</v>
      </c>
      <c r="AH25" s="99" t="s">
        <v>507</v>
      </c>
      <c r="AI25" s="99" t="s">
        <v>508</v>
      </c>
      <c r="AJ25" s="75">
        <v>1</v>
      </c>
      <c r="AK25" s="72">
        <f>(AC25*AJ25)</f>
        <v>0.45</v>
      </c>
      <c r="AL25" s="320">
        <f>SUM(AK25:AK28)</f>
        <v>1</v>
      </c>
      <c r="AM25" s="318">
        <f>ABS($AN$7*AL25)</f>
        <v>0.3</v>
      </c>
      <c r="AN25" s="337">
        <f>ABS(Y24*AM25)</f>
        <v>3.5999999999999997E-2</v>
      </c>
      <c r="AO25" s="68" t="s">
        <v>509</v>
      </c>
      <c r="AP25" s="69" t="s">
        <v>510</v>
      </c>
      <c r="AQ25" s="69" t="s">
        <v>511</v>
      </c>
      <c r="AR25" s="79">
        <v>0.55000000000000004</v>
      </c>
      <c r="AS25" s="322">
        <f>SUM(AR25:AR28)</f>
        <v>1</v>
      </c>
      <c r="AT25" s="99" t="s">
        <v>512</v>
      </c>
      <c r="AU25" s="99" t="s">
        <v>513</v>
      </c>
      <c r="AV25" s="99" t="s">
        <v>514</v>
      </c>
      <c r="AW25" s="99" t="s">
        <v>515</v>
      </c>
      <c r="AX25" s="99" t="s">
        <v>516</v>
      </c>
      <c r="AY25" s="75">
        <v>5</v>
      </c>
      <c r="AZ25" s="72">
        <f>(AR25*AY25)</f>
        <v>2.75</v>
      </c>
      <c r="BA25" s="320">
        <f>SUM(AZ25:AZ28)</f>
        <v>5</v>
      </c>
      <c r="BB25" s="320">
        <f>ABS(BA25*$BC$7)</f>
        <v>1.25</v>
      </c>
      <c r="BC25" s="321">
        <f>ABS(Y24*BB25)</f>
        <v>0.15</v>
      </c>
      <c r="BD25" s="68" t="s">
        <v>517</v>
      </c>
      <c r="BE25" s="69" t="s">
        <v>518</v>
      </c>
      <c r="BF25" s="69" t="s">
        <v>519</v>
      </c>
      <c r="BG25" s="79">
        <v>0.6</v>
      </c>
      <c r="BH25" s="322">
        <f>SUM(BG25:BG28)</f>
        <v>1</v>
      </c>
      <c r="BI25" s="100" t="s">
        <v>520</v>
      </c>
      <c r="BJ25" s="99" t="s">
        <v>521</v>
      </c>
      <c r="BK25" s="99" t="s">
        <v>522</v>
      </c>
      <c r="BL25" s="99" t="s">
        <v>523</v>
      </c>
      <c r="BM25" s="99" t="s">
        <v>524</v>
      </c>
      <c r="BN25" s="75">
        <v>1</v>
      </c>
      <c r="BO25" s="72">
        <f>(BG25*BN25)</f>
        <v>0.6</v>
      </c>
      <c r="BP25" s="320">
        <f>SUM(BO25:BO28)</f>
        <v>1.8000000000000003</v>
      </c>
      <c r="BQ25" s="320">
        <f>ABS(BP25*$BR$7)</f>
        <v>0.32400000000000001</v>
      </c>
      <c r="BR25" s="321">
        <f>ABS(Y24*BQ25)</f>
        <v>3.8879999999999998E-2</v>
      </c>
      <c r="BS25" s="68" t="s">
        <v>525</v>
      </c>
      <c r="BT25" s="69" t="s">
        <v>526</v>
      </c>
      <c r="BU25" s="69" t="s">
        <v>527</v>
      </c>
      <c r="BV25" s="79">
        <v>0.45</v>
      </c>
      <c r="BW25" s="322">
        <f>SUM(BV25:BV28)</f>
        <v>1</v>
      </c>
      <c r="BX25" s="99" t="s">
        <v>528</v>
      </c>
      <c r="BY25" s="223" t="s">
        <v>529</v>
      </c>
      <c r="BZ25" s="99" t="s">
        <v>530</v>
      </c>
      <c r="CA25" s="100" t="s">
        <v>531</v>
      </c>
      <c r="CB25" s="99" t="s">
        <v>532</v>
      </c>
      <c r="CC25" s="75">
        <v>4</v>
      </c>
      <c r="CD25" s="72">
        <f>(BV25*CC25)</f>
        <v>1.8</v>
      </c>
      <c r="CE25" s="320">
        <f>SUM(CD25:CD28)</f>
        <v>2.35</v>
      </c>
      <c r="CF25" s="320">
        <f>ABS(CE25*$CG$7)</f>
        <v>0.28199999999999997</v>
      </c>
      <c r="CG25" s="323">
        <f>ABS(Y24*CF25)</f>
        <v>3.3839999999999995E-2</v>
      </c>
      <c r="CH25" s="68" t="s">
        <v>533</v>
      </c>
      <c r="CI25" s="69" t="s">
        <v>534</v>
      </c>
      <c r="CJ25" s="69" t="s">
        <v>535</v>
      </c>
      <c r="CK25" s="70">
        <v>0.6</v>
      </c>
      <c r="CL25" s="322">
        <f>SUM(CK25:CK28)</f>
        <v>1</v>
      </c>
      <c r="CM25" s="99" t="s">
        <v>536</v>
      </c>
      <c r="CN25" s="99" t="s">
        <v>537</v>
      </c>
      <c r="CO25" s="99" t="s">
        <v>538</v>
      </c>
      <c r="CP25" s="100" t="s">
        <v>539</v>
      </c>
      <c r="CQ25" s="99" t="s">
        <v>540</v>
      </c>
      <c r="CR25" s="75">
        <v>4</v>
      </c>
      <c r="CS25" s="72">
        <f>(CK25*CR25)</f>
        <v>2.4</v>
      </c>
      <c r="CT25" s="320">
        <f>SUM(CS25:CS28)</f>
        <v>3.6</v>
      </c>
      <c r="CU25" s="320">
        <f>ABS(CT25*$CV$7)</f>
        <v>0.54</v>
      </c>
      <c r="CV25" s="323">
        <f>ABS(Y24*CU25)</f>
        <v>6.4799999999999996E-2</v>
      </c>
      <c r="CW25" s="338">
        <f>ABS(AM25+BB25+BQ25+CF25+CU25)</f>
        <v>2.6960000000000002</v>
      </c>
      <c r="CX25" s="339">
        <f>ABS(CG34)</f>
        <v>0.27971999999999997</v>
      </c>
      <c r="CY25" s="340">
        <f>ABS(CW25*Y24)</f>
        <v>0.32352000000000003</v>
      </c>
      <c r="CZ25" s="81"/>
      <c r="DB25" s="224" t="s">
        <v>541</v>
      </c>
    </row>
    <row r="26" spans="2:109" ht="42.75" customHeight="1" x14ac:dyDescent="0.3">
      <c r="M26" s="303"/>
      <c r="N26" s="314" t="s">
        <v>542</v>
      </c>
      <c r="O26" s="55">
        <v>19</v>
      </c>
      <c r="P26" s="56" t="s">
        <v>241</v>
      </c>
      <c r="Q26" s="184" t="s">
        <v>242</v>
      </c>
      <c r="R26" s="185" t="s">
        <v>243</v>
      </c>
      <c r="S26" s="40">
        <v>0.4</v>
      </c>
      <c r="T26" s="95" t="s">
        <v>543</v>
      </c>
      <c r="V26" s="328" t="s">
        <v>544</v>
      </c>
      <c r="W26" s="328"/>
      <c r="X26" s="329" t="s">
        <v>545</v>
      </c>
      <c r="Y26" s="329"/>
      <c r="Z26" s="68" t="s">
        <v>546</v>
      </c>
      <c r="AA26" s="97" t="s">
        <v>547</v>
      </c>
      <c r="AB26" s="97" t="s">
        <v>548</v>
      </c>
      <c r="AC26" s="79">
        <v>0.55000000000000004</v>
      </c>
      <c r="AD26" s="322"/>
      <c r="AE26" s="100" t="s">
        <v>549</v>
      </c>
      <c r="AF26" s="99" t="s">
        <v>550</v>
      </c>
      <c r="AG26" s="99" t="s">
        <v>551</v>
      </c>
      <c r="AH26" s="99" t="s">
        <v>552</v>
      </c>
      <c r="AI26" s="99" t="s">
        <v>553</v>
      </c>
      <c r="AJ26" s="75">
        <v>1</v>
      </c>
      <c r="AK26" s="72">
        <f>(AC26*AJ26)</f>
        <v>0.55000000000000004</v>
      </c>
      <c r="AL26" s="320"/>
      <c r="AM26" s="320"/>
      <c r="AN26" s="337"/>
      <c r="AO26" s="68" t="s">
        <v>554</v>
      </c>
      <c r="AP26" s="69" t="s">
        <v>555</v>
      </c>
      <c r="AQ26" s="69" t="s">
        <v>556</v>
      </c>
      <c r="AR26" s="79">
        <v>0.45</v>
      </c>
      <c r="AS26" s="322"/>
      <c r="AT26" s="99" t="s">
        <v>557</v>
      </c>
      <c r="AU26" s="99" t="s">
        <v>558</v>
      </c>
      <c r="AV26" s="99" t="s">
        <v>559</v>
      </c>
      <c r="AW26" s="99" t="s">
        <v>560</v>
      </c>
      <c r="AX26" s="99" t="s">
        <v>561</v>
      </c>
      <c r="AY26" s="75">
        <v>5</v>
      </c>
      <c r="AZ26" s="72">
        <f>(AR26*AY26)</f>
        <v>2.25</v>
      </c>
      <c r="BA26" s="320"/>
      <c r="BB26" s="320"/>
      <c r="BC26" s="321"/>
      <c r="BD26" s="68" t="s">
        <v>562</v>
      </c>
      <c r="BE26" s="69" t="s">
        <v>563</v>
      </c>
      <c r="BF26" s="69" t="s">
        <v>564</v>
      </c>
      <c r="BG26" s="79">
        <v>0.4</v>
      </c>
      <c r="BH26" s="322"/>
      <c r="BI26" s="99" t="s">
        <v>565</v>
      </c>
      <c r="BJ26" s="99" t="s">
        <v>566</v>
      </c>
      <c r="BK26" s="100" t="s">
        <v>567</v>
      </c>
      <c r="BL26" s="99" t="s">
        <v>568</v>
      </c>
      <c r="BM26" s="99" t="s">
        <v>569</v>
      </c>
      <c r="BN26" s="75">
        <v>3</v>
      </c>
      <c r="BO26" s="72">
        <f>(BG26*BN26)</f>
        <v>1.2000000000000002</v>
      </c>
      <c r="BP26" s="320"/>
      <c r="BQ26" s="320"/>
      <c r="BR26" s="321"/>
      <c r="BS26" s="68" t="s">
        <v>570</v>
      </c>
      <c r="BT26" s="69" t="s">
        <v>571</v>
      </c>
      <c r="BU26" s="69" t="s">
        <v>572</v>
      </c>
      <c r="BV26" s="79">
        <v>0.55000000000000004</v>
      </c>
      <c r="BW26" s="322"/>
      <c r="BX26" s="100" t="s">
        <v>573</v>
      </c>
      <c r="BY26" s="99" t="s">
        <v>574</v>
      </c>
      <c r="BZ26" s="99" t="s">
        <v>575</v>
      </c>
      <c r="CA26" s="99" t="s">
        <v>576</v>
      </c>
      <c r="CB26" s="99" t="s">
        <v>577</v>
      </c>
      <c r="CC26" s="75">
        <v>1</v>
      </c>
      <c r="CD26" s="72">
        <f>(BV26*CC26)</f>
        <v>0.55000000000000004</v>
      </c>
      <c r="CE26" s="320"/>
      <c r="CF26" s="320"/>
      <c r="CG26" s="323"/>
      <c r="CH26" s="195" t="s">
        <v>578</v>
      </c>
      <c r="CI26" s="69" t="s">
        <v>579</v>
      </c>
      <c r="CJ26" s="69" t="s">
        <v>580</v>
      </c>
      <c r="CK26" s="70">
        <v>0.4</v>
      </c>
      <c r="CL26" s="322"/>
      <c r="CM26" s="99" t="s">
        <v>581</v>
      </c>
      <c r="CN26" s="99" t="s">
        <v>582</v>
      </c>
      <c r="CO26" s="100" t="s">
        <v>583</v>
      </c>
      <c r="CP26" s="99" t="s">
        <v>584</v>
      </c>
      <c r="CQ26" s="99" t="s">
        <v>585</v>
      </c>
      <c r="CR26" s="75">
        <v>3</v>
      </c>
      <c r="CS26" s="72">
        <f>(CK26*CR26)</f>
        <v>1.2000000000000002</v>
      </c>
      <c r="CT26" s="320"/>
      <c r="CU26" s="320"/>
      <c r="CV26" s="323"/>
      <c r="CW26" s="338"/>
      <c r="CX26" s="339"/>
      <c r="CY26" s="340"/>
      <c r="CZ26" s="81"/>
    </row>
    <row r="27" spans="2:109" ht="42.75" customHeight="1" x14ac:dyDescent="0.35">
      <c r="M27" s="303"/>
      <c r="N27" s="314"/>
      <c r="O27" s="90">
        <v>20</v>
      </c>
      <c r="P27" s="91" t="s">
        <v>286</v>
      </c>
      <c r="Q27" s="225" t="s">
        <v>287</v>
      </c>
      <c r="R27" s="172" t="s">
        <v>288</v>
      </c>
      <c r="S27" s="94">
        <v>0.3</v>
      </c>
      <c r="T27" s="95" t="s">
        <v>586</v>
      </c>
      <c r="V27" s="328"/>
      <c r="W27" s="328"/>
      <c r="X27" s="356"/>
      <c r="Y27" s="356"/>
      <c r="Z27" s="208"/>
      <c r="AA27" s="116"/>
      <c r="AB27" s="116"/>
      <c r="AC27" s="117"/>
      <c r="AD27" s="322"/>
      <c r="AE27" s="169"/>
      <c r="AF27" s="169"/>
      <c r="AG27" s="169"/>
      <c r="AH27" s="169"/>
      <c r="AI27" s="169"/>
      <c r="AJ27" s="170"/>
      <c r="AK27" s="72"/>
      <c r="AL27" s="320"/>
      <c r="AM27" s="320"/>
      <c r="AN27" s="337"/>
      <c r="AO27" s="167"/>
      <c r="AP27" s="121"/>
      <c r="AQ27" s="121"/>
      <c r="AR27" s="121"/>
      <c r="AS27" s="322"/>
      <c r="AT27" s="169"/>
      <c r="AU27" s="169"/>
      <c r="AV27" s="169"/>
      <c r="AW27" s="169"/>
      <c r="AX27" s="169"/>
      <c r="AY27" s="170"/>
      <c r="AZ27" s="72"/>
      <c r="BA27" s="320"/>
      <c r="BB27" s="320"/>
      <c r="BC27" s="321"/>
      <c r="BD27" s="167"/>
      <c r="BE27" s="121"/>
      <c r="BF27" s="121"/>
      <c r="BG27" s="168"/>
      <c r="BH27" s="322"/>
      <c r="BI27" s="169"/>
      <c r="BJ27" s="169"/>
      <c r="BK27" s="169"/>
      <c r="BL27" s="169"/>
      <c r="BM27" s="169"/>
      <c r="BN27" s="170"/>
      <c r="BO27" s="72"/>
      <c r="BP27" s="320"/>
      <c r="BQ27" s="320"/>
      <c r="BR27" s="321"/>
      <c r="BS27" s="167"/>
      <c r="BT27" s="121"/>
      <c r="BU27" s="121"/>
      <c r="BV27" s="168"/>
      <c r="BW27" s="322"/>
      <c r="BX27" s="169"/>
      <c r="BY27" s="169"/>
      <c r="BZ27" s="169"/>
      <c r="CA27" s="169"/>
      <c r="CB27" s="169"/>
      <c r="CC27" s="170"/>
      <c r="CD27" s="72"/>
      <c r="CE27" s="320"/>
      <c r="CF27" s="320"/>
      <c r="CG27" s="323"/>
      <c r="CH27" s="167"/>
      <c r="CI27" s="121"/>
      <c r="CJ27" s="121"/>
      <c r="CK27" s="168"/>
      <c r="CL27" s="322"/>
      <c r="CM27" s="169"/>
      <c r="CN27" s="169"/>
      <c r="CO27" s="169"/>
      <c r="CP27" s="169"/>
      <c r="CQ27" s="169"/>
      <c r="CR27" s="170"/>
      <c r="CS27" s="72"/>
      <c r="CT27" s="320"/>
      <c r="CU27" s="320"/>
      <c r="CV27" s="323"/>
      <c r="CW27" s="338"/>
      <c r="CX27" s="339"/>
      <c r="CY27" s="340"/>
      <c r="CZ27" s="81"/>
    </row>
    <row r="28" spans="2:109" ht="42.75" customHeight="1" x14ac:dyDescent="0.35">
      <c r="M28" s="303"/>
      <c r="N28" s="314"/>
      <c r="O28" s="159">
        <v>21</v>
      </c>
      <c r="P28" s="191" t="s">
        <v>328</v>
      </c>
      <c r="Q28" s="192" t="s">
        <v>329</v>
      </c>
      <c r="R28" s="193" t="s">
        <v>330</v>
      </c>
      <c r="S28" s="48">
        <v>0.3</v>
      </c>
      <c r="T28" s="49" t="s">
        <v>587</v>
      </c>
      <c r="V28" s="332"/>
      <c r="W28" s="332"/>
      <c r="X28" s="357"/>
      <c r="Y28" s="357"/>
      <c r="Z28" s="173"/>
      <c r="AA28" s="132"/>
      <c r="AB28" s="132"/>
      <c r="AC28" s="133"/>
      <c r="AD28" s="322"/>
      <c r="AE28" s="134"/>
      <c r="AF28" s="134"/>
      <c r="AG28" s="134"/>
      <c r="AH28" s="134"/>
      <c r="AI28" s="134"/>
      <c r="AJ28" s="136"/>
      <c r="AK28" s="136"/>
      <c r="AL28" s="320"/>
      <c r="AM28" s="320"/>
      <c r="AN28" s="337"/>
      <c r="AO28" s="145"/>
      <c r="AP28" s="136"/>
      <c r="AQ28" s="136"/>
      <c r="AR28" s="136"/>
      <c r="AS28" s="322"/>
      <c r="AT28" s="134"/>
      <c r="AU28" s="134"/>
      <c r="AV28" s="134"/>
      <c r="AW28" s="134"/>
      <c r="AX28" s="134"/>
      <c r="AY28" s="136"/>
      <c r="AZ28" s="136"/>
      <c r="BA28" s="320"/>
      <c r="BB28" s="320"/>
      <c r="BC28" s="321"/>
      <c r="BD28" s="145"/>
      <c r="BE28" s="136"/>
      <c r="BF28" s="136"/>
      <c r="BG28" s="146"/>
      <c r="BH28" s="322"/>
      <c r="BI28" s="134"/>
      <c r="BJ28" s="134"/>
      <c r="BK28" s="134"/>
      <c r="BL28" s="134"/>
      <c r="BM28" s="134"/>
      <c r="BN28" s="148"/>
      <c r="BO28" s="144"/>
      <c r="BP28" s="320"/>
      <c r="BQ28" s="320"/>
      <c r="BR28" s="321"/>
      <c r="BS28" s="145"/>
      <c r="BT28" s="136"/>
      <c r="BU28" s="136"/>
      <c r="BV28" s="146"/>
      <c r="BW28" s="322"/>
      <c r="BX28" s="134"/>
      <c r="BY28" s="134"/>
      <c r="BZ28" s="134"/>
      <c r="CA28" s="134"/>
      <c r="CB28" s="134"/>
      <c r="CC28" s="148"/>
      <c r="CD28" s="144"/>
      <c r="CE28" s="320"/>
      <c r="CF28" s="320"/>
      <c r="CG28" s="323"/>
      <c r="CH28" s="145"/>
      <c r="CI28" s="136"/>
      <c r="CJ28" s="136"/>
      <c r="CK28" s="146"/>
      <c r="CL28" s="322"/>
      <c r="CM28" s="134"/>
      <c r="CN28" s="134"/>
      <c r="CO28" s="134"/>
      <c r="CP28" s="134"/>
      <c r="CQ28" s="134"/>
      <c r="CR28" s="148"/>
      <c r="CS28" s="144"/>
      <c r="CT28" s="320"/>
      <c r="CU28" s="320"/>
      <c r="CV28" s="323"/>
      <c r="CW28" s="338"/>
      <c r="CX28" s="339"/>
      <c r="CY28" s="340"/>
      <c r="CZ28" s="81"/>
    </row>
    <row r="29" spans="2:109" ht="42.75" customHeight="1" x14ac:dyDescent="0.35">
      <c r="M29" s="303"/>
      <c r="N29" s="314" t="s">
        <v>225</v>
      </c>
      <c r="O29" s="55">
        <v>22</v>
      </c>
      <c r="P29" s="56" t="s">
        <v>249</v>
      </c>
      <c r="Q29" s="184" t="s">
        <v>250</v>
      </c>
      <c r="R29" s="185" t="s">
        <v>251</v>
      </c>
      <c r="S29" s="40">
        <v>0.6</v>
      </c>
      <c r="T29" s="41" t="s">
        <v>588</v>
      </c>
      <c r="V29" s="334" t="s">
        <v>589</v>
      </c>
      <c r="W29" s="334"/>
      <c r="X29" s="334"/>
      <c r="Y29" s="152">
        <v>0.02</v>
      </c>
      <c r="Z29" s="335"/>
      <c r="AA29" s="335"/>
      <c r="AB29" s="335"/>
      <c r="AC29" s="335"/>
      <c r="AD29" s="335"/>
      <c r="AE29" s="335"/>
      <c r="AF29" s="335"/>
      <c r="AG29" s="335"/>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c r="BD29" s="335"/>
      <c r="BE29" s="335"/>
      <c r="BF29" s="335"/>
      <c r="BG29" s="335"/>
      <c r="BH29" s="335"/>
      <c r="BI29" s="335"/>
      <c r="BJ29" s="335"/>
      <c r="BK29" s="335"/>
      <c r="BL29" s="335"/>
      <c r="BM29" s="335"/>
      <c r="BN29" s="335"/>
      <c r="BO29" s="335"/>
      <c r="BP29" s="335"/>
      <c r="BQ29" s="335"/>
      <c r="BR29" s="335"/>
      <c r="BS29" s="335"/>
      <c r="BT29" s="335"/>
      <c r="BU29" s="335"/>
      <c r="BV29" s="335"/>
      <c r="BW29" s="335"/>
      <c r="BX29" s="335"/>
      <c r="BY29" s="335"/>
      <c r="BZ29" s="335"/>
      <c r="CA29" s="335"/>
      <c r="CB29" s="335"/>
      <c r="CC29" s="335"/>
      <c r="CD29" s="335"/>
      <c r="CE29" s="335"/>
      <c r="CF29" s="335"/>
      <c r="CG29" s="335"/>
      <c r="CH29" s="335"/>
      <c r="CI29" s="335"/>
      <c r="CJ29" s="335"/>
      <c r="CK29" s="335"/>
      <c r="CL29" s="335"/>
      <c r="CM29" s="335"/>
      <c r="CN29" s="335"/>
      <c r="CO29" s="335"/>
      <c r="CP29" s="335"/>
      <c r="CQ29" s="335"/>
      <c r="CR29" s="335"/>
      <c r="CS29" s="335"/>
      <c r="CT29" s="335"/>
      <c r="CU29" s="335"/>
      <c r="CV29" s="335"/>
      <c r="CW29" s="347"/>
      <c r="CX29" s="347"/>
      <c r="CY29" s="347"/>
      <c r="CZ29" s="180"/>
    </row>
    <row r="30" spans="2:109" ht="42.75" customHeight="1" x14ac:dyDescent="0.3">
      <c r="M30" s="303"/>
      <c r="N30" s="314"/>
      <c r="O30" s="44">
        <v>23</v>
      </c>
      <c r="P30" s="91" t="s">
        <v>293</v>
      </c>
      <c r="Q30" s="225" t="s">
        <v>294</v>
      </c>
      <c r="R30" s="172" t="s">
        <v>295</v>
      </c>
      <c r="S30" s="48">
        <v>0.4</v>
      </c>
      <c r="T30" s="49" t="s">
        <v>590</v>
      </c>
      <c r="V30" s="336" t="s">
        <v>591</v>
      </c>
      <c r="W30" s="336"/>
      <c r="X30" s="329" t="s">
        <v>592</v>
      </c>
      <c r="Y30" s="329"/>
      <c r="Z30" s="68" t="s">
        <v>593</v>
      </c>
      <c r="AA30" s="97" t="s">
        <v>594</v>
      </c>
      <c r="AB30" s="97" t="s">
        <v>595</v>
      </c>
      <c r="AC30" s="79">
        <v>0.35</v>
      </c>
      <c r="AD30" s="322">
        <f>SUM(AC30:AC33)</f>
        <v>1</v>
      </c>
      <c r="AE30" s="99" t="s">
        <v>596</v>
      </c>
      <c r="AF30" s="99" t="s">
        <v>597</v>
      </c>
      <c r="AG30" s="99" t="s">
        <v>598</v>
      </c>
      <c r="AH30" s="100" t="s">
        <v>340</v>
      </c>
      <c r="AI30" s="99" t="s">
        <v>599</v>
      </c>
      <c r="AJ30" s="75">
        <v>4</v>
      </c>
      <c r="AK30" s="72">
        <f>(AC30*AJ30)</f>
        <v>1.4</v>
      </c>
      <c r="AL30" s="320">
        <f>SUM(AK30:AK33)</f>
        <v>3.5</v>
      </c>
      <c r="AM30" s="318">
        <f>ABS($AN$7*AL30)</f>
        <v>1.05</v>
      </c>
      <c r="AN30" s="337">
        <f>ABS(Y29*AM30)</f>
        <v>2.1000000000000001E-2</v>
      </c>
      <c r="AO30" s="68" t="s">
        <v>600</v>
      </c>
      <c r="AP30" s="69" t="s">
        <v>601</v>
      </c>
      <c r="AQ30" s="69" t="s">
        <v>602</v>
      </c>
      <c r="AR30" s="79">
        <v>0.55000000000000004</v>
      </c>
      <c r="AS30" s="322">
        <f>SUM(AR30:AR33)</f>
        <v>1</v>
      </c>
      <c r="AT30" s="99" t="s">
        <v>603</v>
      </c>
      <c r="AU30" s="99" t="s">
        <v>604</v>
      </c>
      <c r="AV30" s="100" t="s">
        <v>605</v>
      </c>
      <c r="AW30" s="99" t="s">
        <v>606</v>
      </c>
      <c r="AX30" s="99" t="s">
        <v>607</v>
      </c>
      <c r="AY30" s="75">
        <v>3</v>
      </c>
      <c r="AZ30" s="72">
        <f>(AR30*AY30)</f>
        <v>1.6500000000000001</v>
      </c>
      <c r="BA30" s="320">
        <f>SUM(AZ30:AZ33)</f>
        <v>2.1</v>
      </c>
      <c r="BB30" s="320">
        <f>ABS(BA30*$BC$7)</f>
        <v>0.52500000000000002</v>
      </c>
      <c r="BC30" s="321">
        <f>ABS(Y29*BB30)</f>
        <v>1.0500000000000001E-2</v>
      </c>
      <c r="BD30" s="68" t="s">
        <v>608</v>
      </c>
      <c r="BE30" s="69" t="s">
        <v>609</v>
      </c>
      <c r="BF30" s="69" t="s">
        <v>610</v>
      </c>
      <c r="BG30" s="70">
        <v>0.3</v>
      </c>
      <c r="BH30" s="322">
        <f>SUM(BG30:BG33)</f>
        <v>1</v>
      </c>
      <c r="BI30" s="100" t="s">
        <v>611</v>
      </c>
      <c r="BJ30" s="99" t="s">
        <v>612</v>
      </c>
      <c r="BK30" s="99" t="s">
        <v>613</v>
      </c>
      <c r="BL30" s="99" t="s">
        <v>614</v>
      </c>
      <c r="BM30" s="99" t="s">
        <v>615</v>
      </c>
      <c r="BN30" s="75">
        <v>1</v>
      </c>
      <c r="BO30" s="72">
        <f>(BG30*BN30)</f>
        <v>0.3</v>
      </c>
      <c r="BP30" s="320">
        <f>SUM(BO30:BO33)</f>
        <v>2.1</v>
      </c>
      <c r="BQ30" s="320">
        <f>ABS(BP30*$BR$7)</f>
        <v>0.378</v>
      </c>
      <c r="BR30" s="321">
        <f>ABS(Y29*BQ30)</f>
        <v>7.5599999999999999E-3</v>
      </c>
      <c r="BS30" s="68" t="s">
        <v>616</v>
      </c>
      <c r="BT30" s="69" t="s">
        <v>617</v>
      </c>
      <c r="BU30" s="69" t="s">
        <v>618</v>
      </c>
      <c r="BV30" s="70">
        <v>0.35</v>
      </c>
      <c r="BW30" s="322">
        <f>SUM(BV30:BV33)</f>
        <v>1</v>
      </c>
      <c r="BX30" s="99" t="s">
        <v>619</v>
      </c>
      <c r="BY30" s="99" t="s">
        <v>620</v>
      </c>
      <c r="BZ30" s="100" t="s">
        <v>621</v>
      </c>
      <c r="CA30" s="99" t="s">
        <v>622</v>
      </c>
      <c r="CB30" s="99" t="s">
        <v>623</v>
      </c>
      <c r="CC30" s="75">
        <v>3</v>
      </c>
      <c r="CD30" s="72">
        <f>(BV30*CC30)</f>
        <v>1.0499999999999998</v>
      </c>
      <c r="CE30" s="320">
        <f>SUM(CD30:CD33)</f>
        <v>3.55</v>
      </c>
      <c r="CF30" s="320">
        <f>ABS(CE30*$CG$7)</f>
        <v>0.42599999999999999</v>
      </c>
      <c r="CG30" s="323">
        <f>ABS(Y29*CF30)</f>
        <v>8.5199999999999998E-3</v>
      </c>
      <c r="CH30" s="68" t="s">
        <v>624</v>
      </c>
      <c r="CI30" s="69" t="s">
        <v>625</v>
      </c>
      <c r="CJ30" s="69" t="s">
        <v>626</v>
      </c>
      <c r="CK30" s="79">
        <v>0.6</v>
      </c>
      <c r="CL30" s="322">
        <f>SUM(CK30:CK33)</f>
        <v>1</v>
      </c>
      <c r="CM30" s="100" t="s">
        <v>627</v>
      </c>
      <c r="CN30" s="99" t="s">
        <v>628</v>
      </c>
      <c r="CO30" s="99" t="s">
        <v>629</v>
      </c>
      <c r="CP30" s="99" t="s">
        <v>630</v>
      </c>
      <c r="CQ30" s="99" t="s">
        <v>631</v>
      </c>
      <c r="CR30" s="75">
        <v>1</v>
      </c>
      <c r="CS30" s="72">
        <f>(CK30*CR30)</f>
        <v>0.6</v>
      </c>
      <c r="CT30" s="320">
        <f>SUM(CS30:CS33)</f>
        <v>1.8000000000000003</v>
      </c>
      <c r="CU30" s="320">
        <f>ABS(CT30*$CV$7)</f>
        <v>0.27</v>
      </c>
      <c r="CV30" s="323">
        <f>ABS(Y29*CU30)</f>
        <v>5.4000000000000003E-3</v>
      </c>
      <c r="CW30" s="338">
        <f>ABS(AM30+BB30+BQ30+CF30+CU30)</f>
        <v>2.6490000000000005</v>
      </c>
      <c r="CX30" s="339">
        <f>ABS(CV34)</f>
        <v>0.33390000000000003</v>
      </c>
      <c r="CY30" s="340">
        <f>ABS(CW30*Y29)</f>
        <v>5.2980000000000013E-2</v>
      </c>
      <c r="CZ30" s="81"/>
    </row>
    <row r="31" spans="2:109" ht="42.75" customHeight="1" x14ac:dyDescent="0.3">
      <c r="M31" s="303"/>
      <c r="N31" s="314" t="s">
        <v>318</v>
      </c>
      <c r="O31" s="55">
        <v>24</v>
      </c>
      <c r="P31" s="56" t="s">
        <v>257</v>
      </c>
      <c r="Q31" s="184" t="s">
        <v>258</v>
      </c>
      <c r="R31" s="185" t="s">
        <v>259</v>
      </c>
      <c r="S31" s="40">
        <v>0.3</v>
      </c>
      <c r="T31" s="41" t="s">
        <v>632</v>
      </c>
      <c r="V31" s="328" t="s">
        <v>633</v>
      </c>
      <c r="W31" s="328"/>
      <c r="X31" s="329" t="s">
        <v>634</v>
      </c>
      <c r="Y31" s="329"/>
      <c r="Z31" s="68" t="s">
        <v>635</v>
      </c>
      <c r="AA31" s="97" t="s">
        <v>636</v>
      </c>
      <c r="AB31" s="97" t="s">
        <v>637</v>
      </c>
      <c r="AC31" s="79">
        <v>0.4</v>
      </c>
      <c r="AD31" s="322"/>
      <c r="AE31" s="99" t="s">
        <v>638</v>
      </c>
      <c r="AF31" s="99" t="s">
        <v>639</v>
      </c>
      <c r="AG31" s="99" t="s">
        <v>640</v>
      </c>
      <c r="AH31" s="100" t="s">
        <v>641</v>
      </c>
      <c r="AI31" s="99" t="s">
        <v>642</v>
      </c>
      <c r="AJ31" s="75">
        <v>4</v>
      </c>
      <c r="AK31" s="72">
        <f>(AC31*AJ31)</f>
        <v>1.6</v>
      </c>
      <c r="AL31" s="320"/>
      <c r="AM31" s="320"/>
      <c r="AN31" s="337"/>
      <c r="AO31" s="68" t="s">
        <v>643</v>
      </c>
      <c r="AP31" s="69" t="s">
        <v>644</v>
      </c>
      <c r="AQ31" s="69" t="s">
        <v>645</v>
      </c>
      <c r="AR31" s="79">
        <v>0.45</v>
      </c>
      <c r="AS31" s="322"/>
      <c r="AT31" s="100" t="s">
        <v>646</v>
      </c>
      <c r="AU31" s="99" t="s">
        <v>647</v>
      </c>
      <c r="AV31" s="99" t="s">
        <v>648</v>
      </c>
      <c r="AW31" s="99" t="s">
        <v>649</v>
      </c>
      <c r="AX31" s="99" t="s">
        <v>650</v>
      </c>
      <c r="AY31" s="75">
        <v>1</v>
      </c>
      <c r="AZ31" s="72">
        <f>(AR31*AY31)</f>
        <v>0.45</v>
      </c>
      <c r="BA31" s="320"/>
      <c r="BB31" s="320"/>
      <c r="BC31" s="321"/>
      <c r="BD31" s="195" t="s">
        <v>651</v>
      </c>
      <c r="BE31" s="69" t="s">
        <v>652</v>
      </c>
      <c r="BF31" s="69" t="s">
        <v>653</v>
      </c>
      <c r="BG31" s="70">
        <v>0.4</v>
      </c>
      <c r="BH31" s="322"/>
      <c r="BI31" s="99" t="s">
        <v>654</v>
      </c>
      <c r="BJ31" s="99" t="s">
        <v>639</v>
      </c>
      <c r="BK31" s="100" t="s">
        <v>655</v>
      </c>
      <c r="BL31" s="99" t="s">
        <v>656</v>
      </c>
      <c r="BM31" s="99" t="s">
        <v>642</v>
      </c>
      <c r="BN31" s="75">
        <v>3</v>
      </c>
      <c r="BO31" s="72">
        <f>(BG31*BN31)</f>
        <v>1.2000000000000002</v>
      </c>
      <c r="BP31" s="320"/>
      <c r="BQ31" s="320"/>
      <c r="BR31" s="321"/>
      <c r="BS31" s="195" t="s">
        <v>657</v>
      </c>
      <c r="BT31" s="69" t="s">
        <v>658</v>
      </c>
      <c r="BU31" s="69" t="s">
        <v>659</v>
      </c>
      <c r="BV31" s="70">
        <v>0.25</v>
      </c>
      <c r="BW31" s="322"/>
      <c r="BX31" s="99" t="s">
        <v>660</v>
      </c>
      <c r="BY31" s="100" t="s">
        <v>661</v>
      </c>
      <c r="BZ31" s="99" t="s">
        <v>662</v>
      </c>
      <c r="CA31" s="99" t="s">
        <v>663</v>
      </c>
      <c r="CB31" s="99" t="s">
        <v>664</v>
      </c>
      <c r="CC31" s="75">
        <v>2</v>
      </c>
      <c r="CD31" s="72">
        <f>(BV31*CC31)</f>
        <v>0.5</v>
      </c>
      <c r="CE31" s="320"/>
      <c r="CF31" s="320"/>
      <c r="CG31" s="323"/>
      <c r="CH31" s="68" t="s">
        <v>665</v>
      </c>
      <c r="CI31" s="69" t="s">
        <v>666</v>
      </c>
      <c r="CJ31" s="69" t="s">
        <v>667</v>
      </c>
      <c r="CK31" s="79">
        <v>0.4</v>
      </c>
      <c r="CL31" s="322"/>
      <c r="CM31" s="99" t="s">
        <v>668</v>
      </c>
      <c r="CN31" s="99" t="s">
        <v>669</v>
      </c>
      <c r="CO31" s="100" t="s">
        <v>670</v>
      </c>
      <c r="CP31" s="99" t="s">
        <v>671</v>
      </c>
      <c r="CQ31" s="99" t="s">
        <v>672</v>
      </c>
      <c r="CR31" s="75">
        <v>3</v>
      </c>
      <c r="CS31" s="72">
        <f>(CK31*CR31)</f>
        <v>1.2000000000000002</v>
      </c>
      <c r="CT31" s="320"/>
      <c r="CU31" s="320"/>
      <c r="CV31" s="323"/>
      <c r="CW31" s="338"/>
      <c r="CX31" s="339"/>
      <c r="CY31" s="340"/>
      <c r="CZ31" s="81"/>
    </row>
    <row r="32" spans="2:109" ht="42.75" customHeight="1" x14ac:dyDescent="0.3">
      <c r="M32" s="303"/>
      <c r="N32" s="314"/>
      <c r="O32" s="36">
        <v>25</v>
      </c>
      <c r="P32" s="91" t="s">
        <v>301</v>
      </c>
      <c r="Q32" s="225" t="s">
        <v>302</v>
      </c>
      <c r="R32" s="172" t="s">
        <v>303</v>
      </c>
      <c r="S32" s="94">
        <v>0.4</v>
      </c>
      <c r="T32" s="95" t="s">
        <v>673</v>
      </c>
      <c r="V32" s="341"/>
      <c r="W32" s="341"/>
      <c r="X32" s="342"/>
      <c r="Y32" s="342"/>
      <c r="Z32" s="68" t="s">
        <v>674</v>
      </c>
      <c r="AA32" s="97" t="s">
        <v>675</v>
      </c>
      <c r="AB32" s="97" t="s">
        <v>676</v>
      </c>
      <c r="AC32" s="79">
        <v>0.25</v>
      </c>
      <c r="AD32" s="322"/>
      <c r="AE32" s="99" t="s">
        <v>677</v>
      </c>
      <c r="AF32" s="100" t="s">
        <v>678</v>
      </c>
      <c r="AG32" s="99" t="s">
        <v>679</v>
      </c>
      <c r="AH32" s="99" t="s">
        <v>680</v>
      </c>
      <c r="AI32" s="99" t="s">
        <v>681</v>
      </c>
      <c r="AJ32" s="75">
        <v>2</v>
      </c>
      <c r="AK32" s="72">
        <f>(AC32*AJ32)</f>
        <v>0.5</v>
      </c>
      <c r="AL32" s="320"/>
      <c r="AM32" s="320"/>
      <c r="AN32" s="337"/>
      <c r="AO32" s="167"/>
      <c r="AP32" s="121"/>
      <c r="AQ32" s="121"/>
      <c r="AR32" s="121"/>
      <c r="AS32" s="322"/>
      <c r="AT32" s="169"/>
      <c r="AU32" s="169"/>
      <c r="AV32" s="169"/>
      <c r="AW32" s="169"/>
      <c r="AX32" s="169"/>
      <c r="AY32" s="170"/>
      <c r="AZ32" s="72"/>
      <c r="BA32" s="320"/>
      <c r="BB32" s="320"/>
      <c r="BC32" s="321"/>
      <c r="BD32" s="195" t="s">
        <v>682</v>
      </c>
      <c r="BE32" s="69" t="s">
        <v>683</v>
      </c>
      <c r="BF32" s="69" t="s">
        <v>684</v>
      </c>
      <c r="BG32" s="70">
        <v>0.3</v>
      </c>
      <c r="BH32" s="322"/>
      <c r="BI32" s="99" t="s">
        <v>685</v>
      </c>
      <c r="BJ32" s="100" t="s">
        <v>686</v>
      </c>
      <c r="BK32" s="99" t="s">
        <v>687</v>
      </c>
      <c r="BL32" s="99" t="s">
        <v>688</v>
      </c>
      <c r="BM32" s="99" t="s">
        <v>672</v>
      </c>
      <c r="BN32" s="75">
        <v>2</v>
      </c>
      <c r="BO32" s="72">
        <f>(BG32*BN32)</f>
        <v>0.6</v>
      </c>
      <c r="BP32" s="320"/>
      <c r="BQ32" s="320"/>
      <c r="BR32" s="321"/>
      <c r="BS32" s="195" t="s">
        <v>689</v>
      </c>
      <c r="BT32" s="69" t="s">
        <v>690</v>
      </c>
      <c r="BU32" s="69" t="s">
        <v>691</v>
      </c>
      <c r="BV32" s="70">
        <v>0.4</v>
      </c>
      <c r="BW32" s="322"/>
      <c r="BX32" s="99" t="s">
        <v>692</v>
      </c>
      <c r="BY32" s="99" t="s">
        <v>693</v>
      </c>
      <c r="BZ32" s="99" t="s">
        <v>694</v>
      </c>
      <c r="CA32" s="99" t="s">
        <v>695</v>
      </c>
      <c r="CB32" s="100" t="s">
        <v>696</v>
      </c>
      <c r="CC32" s="75">
        <v>5</v>
      </c>
      <c r="CD32" s="72">
        <f>(BV32*CC32)</f>
        <v>2</v>
      </c>
      <c r="CE32" s="320"/>
      <c r="CF32" s="320"/>
      <c r="CG32" s="323"/>
      <c r="CH32" s="208"/>
      <c r="CI32" s="226"/>
      <c r="CJ32" s="226"/>
      <c r="CK32" s="209"/>
      <c r="CL32" s="322"/>
      <c r="CM32" s="169"/>
      <c r="CN32" s="169"/>
      <c r="CO32" s="169"/>
      <c r="CP32" s="169"/>
      <c r="CQ32" s="169"/>
      <c r="CR32" s="170"/>
      <c r="CS32" s="72"/>
      <c r="CT32" s="320"/>
      <c r="CU32" s="320"/>
      <c r="CV32" s="323"/>
      <c r="CW32" s="338"/>
      <c r="CX32" s="339"/>
      <c r="CY32" s="340"/>
      <c r="CZ32" s="81"/>
    </row>
    <row r="33" spans="13:104" ht="42.75" customHeight="1" x14ac:dyDescent="0.35">
      <c r="M33" s="303"/>
      <c r="N33" s="314"/>
      <c r="O33" s="44">
        <v>26</v>
      </c>
      <c r="P33" s="91" t="s">
        <v>336</v>
      </c>
      <c r="Q33" s="225" t="s">
        <v>337</v>
      </c>
      <c r="R33" s="172" t="s">
        <v>338</v>
      </c>
      <c r="S33" s="48">
        <v>0.3</v>
      </c>
      <c r="T33" s="49" t="s">
        <v>697</v>
      </c>
      <c r="V33" s="344"/>
      <c r="W33" s="344"/>
      <c r="X33" s="345"/>
      <c r="Y33" s="345"/>
      <c r="Z33" s="145"/>
      <c r="AA33" s="136"/>
      <c r="AB33" s="136"/>
      <c r="AC33" s="136"/>
      <c r="AD33" s="322"/>
      <c r="AE33" s="134"/>
      <c r="AF33" s="134"/>
      <c r="AG33" s="134"/>
      <c r="AH33" s="134"/>
      <c r="AI33" s="134"/>
      <c r="AJ33" s="136"/>
      <c r="AK33" s="136"/>
      <c r="AL33" s="320"/>
      <c r="AM33" s="320"/>
      <c r="AN33" s="337"/>
      <c r="AO33" s="145"/>
      <c r="AP33" s="136"/>
      <c r="AQ33" s="136"/>
      <c r="AR33" s="136"/>
      <c r="AS33" s="322"/>
      <c r="AT33" s="134"/>
      <c r="AU33" s="134"/>
      <c r="AV33" s="134"/>
      <c r="AW33" s="134"/>
      <c r="AX33" s="134"/>
      <c r="AY33" s="136"/>
      <c r="AZ33" s="136"/>
      <c r="BA33" s="320"/>
      <c r="BB33" s="320"/>
      <c r="BC33" s="321"/>
      <c r="BD33" s="145"/>
      <c r="BE33" s="136"/>
      <c r="BF33" s="136"/>
      <c r="BG33" s="146"/>
      <c r="BH33" s="322"/>
      <c r="BI33" s="134"/>
      <c r="BJ33" s="134"/>
      <c r="BK33" s="134"/>
      <c r="BL33" s="134"/>
      <c r="BM33" s="134"/>
      <c r="BN33" s="148"/>
      <c r="BO33" s="144"/>
      <c r="BP33" s="320"/>
      <c r="BQ33" s="320"/>
      <c r="BR33" s="321"/>
      <c r="BS33" s="145"/>
      <c r="BT33" s="136"/>
      <c r="BU33" s="136"/>
      <c r="BV33" s="146"/>
      <c r="BW33" s="322"/>
      <c r="BX33" s="134"/>
      <c r="BY33" s="134"/>
      <c r="BZ33" s="134"/>
      <c r="CA33" s="134"/>
      <c r="CB33" s="134"/>
      <c r="CC33" s="148"/>
      <c r="CD33" s="144"/>
      <c r="CE33" s="320"/>
      <c r="CF33" s="320"/>
      <c r="CG33" s="323"/>
      <c r="CH33" s="145"/>
      <c r="CI33" s="136"/>
      <c r="CJ33" s="136"/>
      <c r="CK33" s="146"/>
      <c r="CL33" s="322"/>
      <c r="CM33" s="134"/>
      <c r="CN33" s="134"/>
      <c r="CO33" s="134"/>
      <c r="CP33" s="134"/>
      <c r="CQ33" s="134"/>
      <c r="CR33" s="148"/>
      <c r="CS33" s="144"/>
      <c r="CT33" s="320"/>
      <c r="CU33" s="320"/>
      <c r="CV33" s="323"/>
      <c r="CW33" s="338"/>
      <c r="CX33" s="339"/>
      <c r="CY33" s="340"/>
      <c r="CZ33" s="81"/>
    </row>
    <row r="34" spans="13:104" ht="42.75" customHeight="1" x14ac:dyDescent="0.35">
      <c r="M34" s="303"/>
      <c r="N34" s="358" t="s">
        <v>371</v>
      </c>
      <c r="O34" s="55">
        <v>27</v>
      </c>
      <c r="P34" s="56" t="s">
        <v>265</v>
      </c>
      <c r="Q34" s="184" t="s">
        <v>266</v>
      </c>
      <c r="R34" s="185" t="s">
        <v>267</v>
      </c>
      <c r="S34" s="40">
        <v>0.4</v>
      </c>
      <c r="T34" s="41" t="s">
        <v>698</v>
      </c>
      <c r="V34" s="227" t="s">
        <v>699</v>
      </c>
      <c r="W34" s="359"/>
      <c r="X34" s="359"/>
      <c r="Y34" s="228">
        <f>ABS(Y9+Y14+Y19+Y24+Y29)</f>
        <v>0.82</v>
      </c>
      <c r="Z34" s="229">
        <v>12</v>
      </c>
      <c r="AA34" s="360"/>
      <c r="AB34" s="360"/>
      <c r="AC34" s="360"/>
      <c r="AD34" s="360"/>
      <c r="AE34" s="360"/>
      <c r="AF34" s="360"/>
      <c r="AG34" s="360"/>
      <c r="AH34" s="360"/>
      <c r="AI34" s="360"/>
      <c r="AJ34" s="360"/>
      <c r="AK34" s="360"/>
      <c r="AL34" s="360"/>
      <c r="AM34" s="360"/>
      <c r="AN34" s="230">
        <f>ABS(AN10+AN15+AN20+AN25+AN30)</f>
        <v>0.68220000000000003</v>
      </c>
      <c r="AO34" s="229">
        <v>14</v>
      </c>
      <c r="AP34" s="361"/>
      <c r="AQ34" s="361"/>
      <c r="AR34" s="361"/>
      <c r="AS34" s="361"/>
      <c r="AT34" s="361"/>
      <c r="AU34" s="361"/>
      <c r="AV34" s="361"/>
      <c r="AW34" s="361"/>
      <c r="AX34" s="361"/>
      <c r="AY34" s="361"/>
      <c r="AZ34" s="361"/>
      <c r="BA34" s="361"/>
      <c r="BB34" s="361"/>
      <c r="BC34" s="230">
        <f>ABS(BC10+BC15+BC20+BC25+BC30)</f>
        <v>0.56349999999999989</v>
      </c>
      <c r="BD34" s="229">
        <v>12</v>
      </c>
      <c r="BE34" s="361"/>
      <c r="BF34" s="361"/>
      <c r="BG34" s="361"/>
      <c r="BH34" s="361"/>
      <c r="BI34" s="361"/>
      <c r="BJ34" s="361"/>
      <c r="BK34" s="361"/>
      <c r="BL34" s="361"/>
      <c r="BM34" s="361"/>
      <c r="BN34" s="361"/>
      <c r="BO34" s="361"/>
      <c r="BP34" s="361"/>
      <c r="BQ34" s="361"/>
      <c r="BR34" s="230">
        <f>ABS(BR10+BR15+BR20+BR25+BR30)</f>
        <v>0.41579999999999995</v>
      </c>
      <c r="BS34" s="229">
        <v>13</v>
      </c>
      <c r="BT34" s="361"/>
      <c r="BU34" s="361"/>
      <c r="BV34" s="361"/>
      <c r="BW34" s="361"/>
      <c r="BX34" s="361"/>
      <c r="BY34" s="361"/>
      <c r="BZ34" s="361"/>
      <c r="CA34" s="361"/>
      <c r="CB34" s="361"/>
      <c r="CC34" s="361"/>
      <c r="CD34" s="361"/>
      <c r="CE34" s="361"/>
      <c r="CF34" s="361"/>
      <c r="CG34" s="230">
        <f>ABS(CG10+CG15+CG20+CG25+CG30)</f>
        <v>0.27971999999999997</v>
      </c>
      <c r="CH34" s="231">
        <v>12</v>
      </c>
      <c r="CI34" s="361"/>
      <c r="CJ34" s="361"/>
      <c r="CK34" s="361"/>
      <c r="CL34" s="361"/>
      <c r="CM34" s="361"/>
      <c r="CN34" s="361"/>
      <c r="CO34" s="361"/>
      <c r="CP34" s="361"/>
      <c r="CQ34" s="361"/>
      <c r="CR34" s="361"/>
      <c r="CS34" s="361"/>
      <c r="CT34" s="361"/>
      <c r="CU34" s="361"/>
      <c r="CV34" s="232">
        <f>ABS(CV10+CV15+CV20+CV25+CV30)</f>
        <v>0.33390000000000003</v>
      </c>
      <c r="CW34" s="233">
        <f>ABS(CW10+CW15+CW20+CW25+CW30)</f>
        <v>13.709999999999999</v>
      </c>
      <c r="CX34" s="234">
        <f>ABS(CX10+CX15+CX20+CX25+CX30)</f>
        <v>2.2751199999999998</v>
      </c>
      <c r="CY34" s="234">
        <f>ABS(CY10+CY15+CY20+CY25+CY30)</f>
        <v>2.2751199999999998</v>
      </c>
      <c r="CZ34" s="235">
        <f>ABS(Z34+AO34+BD34+BS34+CH34)</f>
        <v>63</v>
      </c>
    </row>
    <row r="35" spans="13:104" ht="42.75" customHeight="1" x14ac:dyDescent="0.4">
      <c r="M35" s="303"/>
      <c r="N35" s="358"/>
      <c r="O35" s="159">
        <v>28</v>
      </c>
      <c r="P35" s="191" t="s">
        <v>309</v>
      </c>
      <c r="Q35" s="192" t="s">
        <v>310</v>
      </c>
      <c r="R35" s="193" t="s">
        <v>311</v>
      </c>
      <c r="S35" s="194">
        <v>0.35</v>
      </c>
      <c r="T35" s="95" t="s">
        <v>700</v>
      </c>
      <c r="V35" s="362"/>
      <c r="W35" s="362"/>
      <c r="X35" s="362"/>
      <c r="Y35" s="236" t="s">
        <v>701</v>
      </c>
      <c r="Z35" s="237" t="s">
        <v>702</v>
      </c>
      <c r="AA35" s="363"/>
      <c r="AB35" s="363"/>
      <c r="AC35" s="363"/>
      <c r="AD35" s="363"/>
      <c r="AE35" s="363"/>
      <c r="AF35" s="363"/>
      <c r="AG35" s="363"/>
      <c r="AH35" s="363"/>
      <c r="AI35" s="363"/>
      <c r="AJ35" s="363"/>
      <c r="AK35" s="363"/>
      <c r="AL35" s="363"/>
      <c r="AM35" s="363"/>
      <c r="AN35" s="238" t="s">
        <v>703</v>
      </c>
      <c r="AO35" s="239" t="s">
        <v>704</v>
      </c>
      <c r="AP35" s="364"/>
      <c r="AQ35" s="364"/>
      <c r="AR35" s="364"/>
      <c r="AS35" s="364"/>
      <c r="AT35" s="364"/>
      <c r="AU35" s="364"/>
      <c r="AV35" s="364"/>
      <c r="AW35" s="364"/>
      <c r="AX35" s="364"/>
      <c r="AY35" s="364"/>
      <c r="AZ35" s="364"/>
      <c r="BA35" s="364"/>
      <c r="BB35" s="364"/>
      <c r="BC35" s="238" t="s">
        <v>703</v>
      </c>
      <c r="BD35" s="239" t="s">
        <v>704</v>
      </c>
      <c r="BE35" s="364"/>
      <c r="BF35" s="364"/>
      <c r="BG35" s="364"/>
      <c r="BH35" s="364"/>
      <c r="BI35" s="364"/>
      <c r="BJ35" s="364"/>
      <c r="BK35" s="364"/>
      <c r="BL35" s="364"/>
      <c r="BM35" s="364"/>
      <c r="BN35" s="364"/>
      <c r="BO35" s="364"/>
      <c r="BP35" s="364"/>
      <c r="BQ35" s="364"/>
      <c r="BR35" s="238" t="s">
        <v>703</v>
      </c>
      <c r="BS35" s="239" t="s">
        <v>704</v>
      </c>
      <c r="BT35" s="364"/>
      <c r="BU35" s="364"/>
      <c r="BV35" s="364"/>
      <c r="BW35" s="364"/>
      <c r="BX35" s="364"/>
      <c r="BY35" s="364"/>
      <c r="BZ35" s="364"/>
      <c r="CA35" s="364"/>
      <c r="CB35" s="364"/>
      <c r="CC35" s="364"/>
      <c r="CD35" s="364"/>
      <c r="CE35" s="364"/>
      <c r="CF35" s="364"/>
      <c r="CG35" s="238" t="s">
        <v>703</v>
      </c>
      <c r="CH35" s="237" t="s">
        <v>705</v>
      </c>
      <c r="CI35" s="364"/>
      <c r="CJ35" s="364"/>
      <c r="CK35" s="364"/>
      <c r="CL35" s="364"/>
      <c r="CM35" s="364"/>
      <c r="CN35" s="364"/>
      <c r="CO35" s="364"/>
      <c r="CP35" s="364"/>
      <c r="CQ35" s="364"/>
      <c r="CR35" s="364"/>
      <c r="CS35" s="364"/>
      <c r="CT35" s="364"/>
      <c r="CU35" s="364"/>
      <c r="CV35" s="240" t="s">
        <v>706</v>
      </c>
      <c r="CW35" s="241" t="s">
        <v>707</v>
      </c>
      <c r="CX35" s="242" t="s">
        <v>708</v>
      </c>
      <c r="CY35" s="243" t="s">
        <v>709</v>
      </c>
      <c r="CZ35" s="243" t="s">
        <v>704</v>
      </c>
    </row>
    <row r="36" spans="13:104" ht="42.75" customHeight="1" x14ac:dyDescent="0.3">
      <c r="M36" s="303"/>
      <c r="N36" s="358"/>
      <c r="O36" s="202">
        <v>29</v>
      </c>
      <c r="P36" s="203" t="s">
        <v>344</v>
      </c>
      <c r="Q36" s="204" t="s">
        <v>345</v>
      </c>
      <c r="R36" s="205" t="s">
        <v>346</v>
      </c>
      <c r="S36" s="206">
        <v>0.25</v>
      </c>
      <c r="T36" s="207" t="s">
        <v>710</v>
      </c>
    </row>
    <row r="37" spans="13:104" ht="42.75" customHeight="1" x14ac:dyDescent="0.3">
      <c r="M37" s="303" t="s">
        <v>711</v>
      </c>
      <c r="N37" s="304" t="s">
        <v>54</v>
      </c>
      <c r="O37" s="244">
        <v>30</v>
      </c>
      <c r="P37" s="245" t="s">
        <v>375</v>
      </c>
      <c r="Q37" s="214" t="s">
        <v>376</v>
      </c>
      <c r="R37" s="215" t="s">
        <v>377</v>
      </c>
      <c r="S37" s="40">
        <v>0.6</v>
      </c>
      <c r="T37" s="41" t="s">
        <v>712</v>
      </c>
    </row>
    <row r="38" spans="13:104" ht="42.75" customHeight="1" x14ac:dyDescent="0.3">
      <c r="M38" s="303"/>
      <c r="N38" s="304"/>
      <c r="O38" s="246">
        <v>31</v>
      </c>
      <c r="P38" s="247" t="s">
        <v>429</v>
      </c>
      <c r="Q38" s="218" t="s">
        <v>430</v>
      </c>
      <c r="R38" s="219" t="s">
        <v>431</v>
      </c>
      <c r="S38" s="48">
        <v>0.4</v>
      </c>
      <c r="T38" s="49" t="s">
        <v>713</v>
      </c>
    </row>
    <row r="39" spans="13:104" ht="42.75" customHeight="1" x14ac:dyDescent="0.3">
      <c r="M39" s="303"/>
      <c r="N39" s="314" t="s">
        <v>542</v>
      </c>
      <c r="O39" s="248">
        <v>32</v>
      </c>
      <c r="P39" s="249" t="s">
        <v>383</v>
      </c>
      <c r="Q39" s="184" t="s">
        <v>384</v>
      </c>
      <c r="R39" s="185" t="s">
        <v>385</v>
      </c>
      <c r="S39" s="40">
        <v>0.35</v>
      </c>
      <c r="T39" s="250" t="s">
        <v>714</v>
      </c>
    </row>
    <row r="40" spans="13:104" ht="42.75" customHeight="1" x14ac:dyDescent="0.3">
      <c r="M40" s="303"/>
      <c r="N40" s="314"/>
      <c r="O40" s="244">
        <v>33</v>
      </c>
      <c r="P40" s="247" t="s">
        <v>437</v>
      </c>
      <c r="Q40" s="225" t="s">
        <v>438</v>
      </c>
      <c r="R40" s="172" t="s">
        <v>439</v>
      </c>
      <c r="S40" s="94">
        <v>0.4</v>
      </c>
      <c r="T40" s="251" t="s">
        <v>715</v>
      </c>
    </row>
    <row r="41" spans="13:104" ht="42.75" customHeight="1" x14ac:dyDescent="0.3">
      <c r="M41" s="303"/>
      <c r="N41" s="314"/>
      <c r="O41" s="246">
        <v>34</v>
      </c>
      <c r="P41" s="247" t="s">
        <v>480</v>
      </c>
      <c r="Q41" s="225" t="s">
        <v>481</v>
      </c>
      <c r="R41" s="172" t="s">
        <v>482</v>
      </c>
      <c r="S41" s="48">
        <v>0.25</v>
      </c>
      <c r="T41" s="252" t="s">
        <v>716</v>
      </c>
    </row>
    <row r="42" spans="13:104" ht="42.75" customHeight="1" x14ac:dyDescent="0.3">
      <c r="M42" s="303"/>
      <c r="N42" s="314" t="s">
        <v>225</v>
      </c>
      <c r="O42" s="248">
        <v>35</v>
      </c>
      <c r="P42" s="249" t="s">
        <v>391</v>
      </c>
      <c r="Q42" s="184" t="s">
        <v>392</v>
      </c>
      <c r="R42" s="185" t="s">
        <v>393</v>
      </c>
      <c r="S42" s="40">
        <v>0.45</v>
      </c>
      <c r="T42" s="41" t="s">
        <v>717</v>
      </c>
    </row>
    <row r="43" spans="13:104" ht="42.75" customHeight="1" x14ac:dyDescent="0.3">
      <c r="M43" s="303"/>
      <c r="N43" s="314"/>
      <c r="O43" s="246">
        <v>36</v>
      </c>
      <c r="P43" s="247" t="s">
        <v>445</v>
      </c>
      <c r="Q43" s="225" t="s">
        <v>446</v>
      </c>
      <c r="R43" s="172" t="s">
        <v>447</v>
      </c>
      <c r="S43" s="48">
        <v>0.55000000000000004</v>
      </c>
      <c r="T43" s="49" t="s">
        <v>718</v>
      </c>
    </row>
    <row r="44" spans="13:104" ht="42.75" customHeight="1" x14ac:dyDescent="0.3">
      <c r="M44" s="303"/>
      <c r="N44" s="314" t="s">
        <v>318</v>
      </c>
      <c r="O44" s="253">
        <v>37</v>
      </c>
      <c r="P44" s="249" t="s">
        <v>399</v>
      </c>
      <c r="Q44" s="184" t="s">
        <v>400</v>
      </c>
      <c r="R44" s="185" t="s">
        <v>401</v>
      </c>
      <c r="S44" s="40">
        <v>0.6</v>
      </c>
      <c r="T44" s="41" t="s">
        <v>719</v>
      </c>
    </row>
    <row r="45" spans="13:104" ht="42.75" customHeight="1" x14ac:dyDescent="0.3">
      <c r="M45" s="303"/>
      <c r="N45" s="314"/>
      <c r="O45" s="246">
        <v>38</v>
      </c>
      <c r="P45" s="247" t="s">
        <v>453</v>
      </c>
      <c r="Q45" s="225" t="s">
        <v>454</v>
      </c>
      <c r="R45" s="172" t="s">
        <v>455</v>
      </c>
      <c r="S45" s="48">
        <v>0.4</v>
      </c>
      <c r="T45" s="49" t="s">
        <v>720</v>
      </c>
    </row>
    <row r="46" spans="13:104" ht="42.75" customHeight="1" x14ac:dyDescent="0.3">
      <c r="M46" s="303"/>
      <c r="N46" s="349" t="s">
        <v>371</v>
      </c>
      <c r="O46" s="253">
        <v>39</v>
      </c>
      <c r="P46" s="249" t="s">
        <v>407</v>
      </c>
      <c r="Q46" s="184" t="s">
        <v>408</v>
      </c>
      <c r="R46" s="185" t="s">
        <v>409</v>
      </c>
      <c r="S46" s="40">
        <v>0.55000000000000004</v>
      </c>
      <c r="T46" s="41" t="s">
        <v>721</v>
      </c>
    </row>
    <row r="47" spans="13:104" ht="42.75" customHeight="1" x14ac:dyDescent="0.3">
      <c r="M47" s="303"/>
      <c r="N47" s="349"/>
      <c r="O47" s="254">
        <v>40</v>
      </c>
      <c r="P47" s="255" t="s">
        <v>461</v>
      </c>
      <c r="Q47" s="204" t="s">
        <v>462</v>
      </c>
      <c r="R47" s="205" t="s">
        <v>463</v>
      </c>
      <c r="S47" s="206">
        <v>0.45</v>
      </c>
      <c r="T47" s="207" t="s">
        <v>722</v>
      </c>
    </row>
    <row r="48" spans="13:104" ht="42.75" customHeight="1" x14ac:dyDescent="0.3">
      <c r="M48" s="303" t="s">
        <v>723</v>
      </c>
      <c r="N48" s="304" t="s">
        <v>54</v>
      </c>
      <c r="O48" s="256">
        <v>41</v>
      </c>
      <c r="P48" s="245" t="s">
        <v>501</v>
      </c>
      <c r="Q48" s="214" t="s">
        <v>502</v>
      </c>
      <c r="R48" s="215" t="s">
        <v>503</v>
      </c>
      <c r="S48" s="40">
        <v>0.45</v>
      </c>
      <c r="T48" s="41" t="s">
        <v>724</v>
      </c>
    </row>
    <row r="49" spans="13:123" ht="42.75" customHeight="1" x14ac:dyDescent="0.3">
      <c r="M49" s="303"/>
      <c r="N49" s="304"/>
      <c r="O49" s="257">
        <v>42</v>
      </c>
      <c r="P49" s="247" t="s">
        <v>546</v>
      </c>
      <c r="Q49" s="218" t="s">
        <v>547</v>
      </c>
      <c r="R49" s="219" t="s">
        <v>548</v>
      </c>
      <c r="S49" s="48">
        <v>0.55000000000000004</v>
      </c>
      <c r="T49" s="49" t="s">
        <v>725</v>
      </c>
    </row>
    <row r="50" spans="13:123" ht="42.75" customHeight="1" x14ac:dyDescent="0.3">
      <c r="M50" s="303"/>
      <c r="N50" s="314" t="s">
        <v>542</v>
      </c>
      <c r="O50" s="258">
        <v>43</v>
      </c>
      <c r="P50" s="249" t="s">
        <v>509</v>
      </c>
      <c r="Q50" s="184" t="s">
        <v>510</v>
      </c>
      <c r="R50" s="185" t="s">
        <v>511</v>
      </c>
      <c r="S50" s="40">
        <v>0.55000000000000004</v>
      </c>
      <c r="T50" s="41" t="s">
        <v>726</v>
      </c>
    </row>
    <row r="51" spans="13:123" ht="42.75" customHeight="1" x14ac:dyDescent="0.3">
      <c r="M51" s="303"/>
      <c r="N51" s="314"/>
      <c r="O51" s="257">
        <v>44</v>
      </c>
      <c r="P51" s="247" t="s">
        <v>554</v>
      </c>
      <c r="Q51" s="225" t="s">
        <v>555</v>
      </c>
      <c r="R51" s="172" t="s">
        <v>556</v>
      </c>
      <c r="S51" s="48">
        <v>0.45</v>
      </c>
      <c r="T51" s="49" t="s">
        <v>727</v>
      </c>
    </row>
    <row r="52" spans="13:123" ht="42.75" customHeight="1" x14ac:dyDescent="0.3">
      <c r="M52" s="303"/>
      <c r="N52" s="314" t="s">
        <v>225</v>
      </c>
      <c r="O52" s="258">
        <v>45</v>
      </c>
      <c r="P52" s="249" t="s">
        <v>517</v>
      </c>
      <c r="Q52" s="184" t="s">
        <v>518</v>
      </c>
      <c r="R52" s="185" t="s">
        <v>519</v>
      </c>
      <c r="S52" s="40">
        <v>0.6</v>
      </c>
      <c r="T52" s="41" t="s">
        <v>728</v>
      </c>
    </row>
    <row r="53" spans="13:123" ht="42.75" customHeight="1" x14ac:dyDescent="0.3">
      <c r="M53" s="303"/>
      <c r="N53" s="314"/>
      <c r="O53" s="259">
        <v>46</v>
      </c>
      <c r="P53" s="247" t="s">
        <v>562</v>
      </c>
      <c r="Q53" s="225" t="s">
        <v>563</v>
      </c>
      <c r="R53" s="172" t="s">
        <v>564</v>
      </c>
      <c r="S53" s="48">
        <v>0.4</v>
      </c>
      <c r="T53" s="49" t="s">
        <v>729</v>
      </c>
    </row>
    <row r="54" spans="13:123" ht="42.75" customHeight="1" x14ac:dyDescent="0.3">
      <c r="M54" s="303"/>
      <c r="N54" s="314" t="s">
        <v>318</v>
      </c>
      <c r="O54" s="258">
        <v>47</v>
      </c>
      <c r="P54" s="249" t="s">
        <v>525</v>
      </c>
      <c r="Q54" s="184" t="s">
        <v>526</v>
      </c>
      <c r="R54" s="185" t="s">
        <v>527</v>
      </c>
      <c r="S54" s="40">
        <v>0.45</v>
      </c>
      <c r="T54" s="41" t="s">
        <v>730</v>
      </c>
    </row>
    <row r="55" spans="13:123" ht="42.75" customHeight="1" x14ac:dyDescent="0.3">
      <c r="M55" s="303"/>
      <c r="N55" s="314"/>
      <c r="O55" s="257">
        <v>48</v>
      </c>
      <c r="P55" s="247" t="s">
        <v>570</v>
      </c>
      <c r="Q55" s="225" t="s">
        <v>571</v>
      </c>
      <c r="R55" s="172" t="s">
        <v>572</v>
      </c>
      <c r="S55" s="48">
        <v>0.55000000000000004</v>
      </c>
      <c r="T55" s="49" t="s">
        <v>731</v>
      </c>
    </row>
    <row r="56" spans="13:123" ht="42.75" customHeight="1" x14ac:dyDescent="0.3">
      <c r="M56" s="303"/>
      <c r="N56" s="349" t="s">
        <v>371</v>
      </c>
      <c r="O56" s="258">
        <v>49</v>
      </c>
      <c r="P56" s="249" t="s">
        <v>533</v>
      </c>
      <c r="Q56" s="184" t="s">
        <v>534</v>
      </c>
      <c r="R56" s="185" t="s">
        <v>535</v>
      </c>
      <c r="S56" s="40">
        <v>0.6</v>
      </c>
      <c r="T56" s="41" t="s">
        <v>732</v>
      </c>
    </row>
    <row r="57" spans="13:123" ht="42.75" customHeight="1" x14ac:dyDescent="0.3">
      <c r="M57" s="303"/>
      <c r="N57" s="349"/>
      <c r="O57" s="260">
        <v>50</v>
      </c>
      <c r="P57" s="255" t="s">
        <v>578</v>
      </c>
      <c r="Q57" s="204" t="s">
        <v>579</v>
      </c>
      <c r="R57" s="205" t="s">
        <v>580</v>
      </c>
      <c r="S57" s="206">
        <v>0.4</v>
      </c>
      <c r="T57" s="207" t="s">
        <v>733</v>
      </c>
      <c r="DK57" s="365" t="s">
        <v>22</v>
      </c>
      <c r="DL57" s="365"/>
      <c r="DM57" s="365"/>
      <c r="DN57" s="365"/>
      <c r="DO57" s="365"/>
    </row>
    <row r="58" spans="13:123" ht="42.75" customHeight="1" x14ac:dyDescent="0.3">
      <c r="M58" s="366" t="s">
        <v>734</v>
      </c>
      <c r="N58" s="304" t="s">
        <v>54</v>
      </c>
      <c r="O58" s="256">
        <v>51</v>
      </c>
      <c r="P58" s="245" t="s">
        <v>593</v>
      </c>
      <c r="Q58" s="214" t="s">
        <v>594</v>
      </c>
      <c r="R58" s="215" t="s">
        <v>595</v>
      </c>
      <c r="S58" s="40">
        <v>0.35</v>
      </c>
      <c r="T58" s="41" t="s">
        <v>735</v>
      </c>
      <c r="DK58" s="261" t="s">
        <v>210</v>
      </c>
      <c r="DL58" s="262" t="s">
        <v>223</v>
      </c>
      <c r="DM58" s="262" t="s">
        <v>228</v>
      </c>
      <c r="DN58" s="262" t="s">
        <v>273</v>
      </c>
      <c r="DO58" s="263" t="s">
        <v>316</v>
      </c>
    </row>
    <row r="59" spans="13:123" ht="42.75" customHeight="1" x14ac:dyDescent="0.35">
      <c r="M59" s="366"/>
      <c r="N59" s="304"/>
      <c r="O59" s="256">
        <v>52</v>
      </c>
      <c r="P59" s="247" t="s">
        <v>635</v>
      </c>
      <c r="Q59" s="218" t="s">
        <v>636</v>
      </c>
      <c r="R59" s="219" t="s">
        <v>637</v>
      </c>
      <c r="S59" s="94">
        <v>0.4</v>
      </c>
      <c r="T59" s="95" t="s">
        <v>736</v>
      </c>
      <c r="DK59" s="264" t="s">
        <v>211</v>
      </c>
      <c r="DL59" s="265" t="s">
        <v>224</v>
      </c>
      <c r="DM59" s="265" t="s">
        <v>229</v>
      </c>
      <c r="DN59" s="265" t="s">
        <v>274</v>
      </c>
      <c r="DO59" s="238" t="s">
        <v>317</v>
      </c>
    </row>
    <row r="60" spans="13:123" ht="42.75" customHeight="1" x14ac:dyDescent="0.35">
      <c r="M60" s="366"/>
      <c r="N60" s="304"/>
      <c r="O60" s="257">
        <v>53</v>
      </c>
      <c r="P60" s="247" t="s">
        <v>674</v>
      </c>
      <c r="Q60" s="218" t="s">
        <v>675</v>
      </c>
      <c r="R60" s="219" t="s">
        <v>676</v>
      </c>
      <c r="S60" s="48">
        <v>0.25</v>
      </c>
      <c r="T60" s="49" t="s">
        <v>737</v>
      </c>
      <c r="DH60" s="367" t="s">
        <v>21</v>
      </c>
      <c r="DI60" s="266" t="s">
        <v>35</v>
      </c>
      <c r="DJ60" s="267" t="s">
        <v>36</v>
      </c>
      <c r="DK60" s="268"/>
      <c r="DL60" s="269"/>
      <c r="DM60" s="269"/>
      <c r="DN60" s="269"/>
      <c r="DO60" s="270"/>
      <c r="DQ60" s="271" t="s">
        <v>738</v>
      </c>
    </row>
    <row r="61" spans="13:123" ht="42.75" customHeight="1" x14ac:dyDescent="0.3">
      <c r="M61" s="366"/>
      <c r="N61" s="314" t="s">
        <v>86</v>
      </c>
      <c r="O61" s="258">
        <v>54</v>
      </c>
      <c r="P61" s="249" t="s">
        <v>600</v>
      </c>
      <c r="Q61" s="184" t="s">
        <v>601</v>
      </c>
      <c r="R61" s="185" t="s">
        <v>602</v>
      </c>
      <c r="S61" s="40">
        <v>0.55000000000000004</v>
      </c>
      <c r="T61" s="41" t="s">
        <v>739</v>
      </c>
      <c r="DH61" s="367"/>
      <c r="DI61" s="272" t="s">
        <v>51</v>
      </c>
      <c r="DJ61" s="273" t="s">
        <v>52</v>
      </c>
      <c r="DK61" s="274"/>
      <c r="DL61" s="275"/>
      <c r="DM61" s="275"/>
      <c r="DN61" s="275"/>
      <c r="DO61" s="276"/>
      <c r="DQ61" s="277" t="s">
        <v>709</v>
      </c>
      <c r="DS61" s="278" t="s">
        <v>740</v>
      </c>
    </row>
    <row r="62" spans="13:123" ht="42.75" customHeight="1" x14ac:dyDescent="0.35">
      <c r="M62" s="366"/>
      <c r="N62" s="314"/>
      <c r="O62" s="257">
        <v>55</v>
      </c>
      <c r="P62" s="247" t="s">
        <v>643</v>
      </c>
      <c r="Q62" s="225" t="s">
        <v>644</v>
      </c>
      <c r="R62" s="172" t="s">
        <v>645</v>
      </c>
      <c r="S62" s="48">
        <v>0.45</v>
      </c>
      <c r="T62" s="49" t="s">
        <v>741</v>
      </c>
      <c r="DH62" s="367"/>
      <c r="DI62" s="272" t="s">
        <v>68</v>
      </c>
      <c r="DJ62" s="279" t="s">
        <v>69</v>
      </c>
      <c r="DK62" s="274"/>
      <c r="DL62" s="368" t="s">
        <v>742</v>
      </c>
      <c r="DM62" s="368"/>
      <c r="DN62" s="368"/>
      <c r="DO62" s="276"/>
    </row>
    <row r="63" spans="13:123" ht="42.75" customHeight="1" x14ac:dyDescent="0.35">
      <c r="M63" s="366"/>
      <c r="N63" s="314" t="s">
        <v>225</v>
      </c>
      <c r="O63" s="258">
        <v>56</v>
      </c>
      <c r="P63" s="249" t="s">
        <v>608</v>
      </c>
      <c r="Q63" s="184" t="s">
        <v>609</v>
      </c>
      <c r="R63" s="185" t="s">
        <v>610</v>
      </c>
      <c r="S63" s="40">
        <v>0.3</v>
      </c>
      <c r="T63" s="41" t="s">
        <v>743</v>
      </c>
      <c r="DH63" s="367"/>
      <c r="DI63" s="272" t="s">
        <v>84</v>
      </c>
      <c r="DJ63" s="279" t="s">
        <v>85</v>
      </c>
      <c r="DK63" s="274"/>
      <c r="DL63" s="275"/>
      <c r="DM63" s="275"/>
      <c r="DN63" s="275"/>
      <c r="DO63" s="276"/>
    </row>
    <row r="64" spans="13:123" ht="42.75" customHeight="1" x14ac:dyDescent="0.35">
      <c r="M64" s="366"/>
      <c r="N64" s="314"/>
      <c r="O64" s="280">
        <v>57</v>
      </c>
      <c r="P64" s="247" t="s">
        <v>651</v>
      </c>
      <c r="Q64" s="225" t="s">
        <v>652</v>
      </c>
      <c r="R64" s="172" t="s">
        <v>653</v>
      </c>
      <c r="S64" s="94">
        <v>0.4</v>
      </c>
      <c r="T64" s="95" t="s">
        <v>744</v>
      </c>
      <c r="DH64" s="367"/>
      <c r="DI64" s="281" t="s">
        <v>133</v>
      </c>
      <c r="DJ64" s="282" t="s">
        <v>134</v>
      </c>
      <c r="DK64" s="283"/>
      <c r="DL64" s="284"/>
      <c r="DM64" s="284"/>
      <c r="DN64" s="284"/>
      <c r="DO64" s="285"/>
    </row>
    <row r="65" spans="13:20" ht="42.75" customHeight="1" x14ac:dyDescent="0.3">
      <c r="M65" s="366"/>
      <c r="N65" s="314"/>
      <c r="O65" s="256">
        <v>58</v>
      </c>
      <c r="P65" s="247" t="s">
        <v>682</v>
      </c>
      <c r="Q65" s="225" t="s">
        <v>683</v>
      </c>
      <c r="R65" s="172" t="s">
        <v>684</v>
      </c>
      <c r="S65" s="48">
        <v>0.3</v>
      </c>
      <c r="T65" s="49" t="s">
        <v>745</v>
      </c>
    </row>
    <row r="66" spans="13:20" ht="42.75" customHeight="1" x14ac:dyDescent="0.3">
      <c r="M66" s="366"/>
      <c r="N66" s="314" t="s">
        <v>318</v>
      </c>
      <c r="O66" s="258">
        <v>59</v>
      </c>
      <c r="P66" s="249" t="s">
        <v>616</v>
      </c>
      <c r="Q66" s="184" t="s">
        <v>617</v>
      </c>
      <c r="R66" s="185" t="s">
        <v>618</v>
      </c>
      <c r="S66" s="40">
        <v>0.35</v>
      </c>
      <c r="T66" s="41" t="s">
        <v>746</v>
      </c>
    </row>
    <row r="67" spans="13:20" ht="42.75" customHeight="1" x14ac:dyDescent="0.3">
      <c r="M67" s="366"/>
      <c r="N67" s="314"/>
      <c r="O67" s="280">
        <v>60</v>
      </c>
      <c r="P67" s="247" t="s">
        <v>657</v>
      </c>
      <c r="Q67" s="225" t="s">
        <v>658</v>
      </c>
      <c r="R67" s="172" t="s">
        <v>659</v>
      </c>
      <c r="S67" s="94">
        <v>0.25</v>
      </c>
      <c r="T67" s="95" t="s">
        <v>747</v>
      </c>
    </row>
    <row r="68" spans="13:20" ht="42.75" customHeight="1" x14ac:dyDescent="0.3">
      <c r="M68" s="366"/>
      <c r="N68" s="314"/>
      <c r="O68" s="286">
        <v>61</v>
      </c>
      <c r="P68" s="287" t="s">
        <v>689</v>
      </c>
      <c r="Q68" s="288" t="s">
        <v>690</v>
      </c>
      <c r="R68" s="289" t="s">
        <v>691</v>
      </c>
      <c r="S68" s="290">
        <v>0.4</v>
      </c>
      <c r="T68" s="49" t="s">
        <v>748</v>
      </c>
    </row>
    <row r="69" spans="13:20" ht="42.75" customHeight="1" x14ac:dyDescent="0.3">
      <c r="M69" s="366"/>
      <c r="N69" s="314" t="s">
        <v>371</v>
      </c>
      <c r="O69" s="258">
        <v>62</v>
      </c>
      <c r="P69" s="249" t="s">
        <v>624</v>
      </c>
      <c r="Q69" s="184" t="s">
        <v>625</v>
      </c>
      <c r="R69" s="185" t="s">
        <v>626</v>
      </c>
      <c r="S69" s="94">
        <v>0.6</v>
      </c>
      <c r="T69" s="41" t="s">
        <v>749</v>
      </c>
    </row>
    <row r="70" spans="13:20" ht="42.75" customHeight="1" x14ac:dyDescent="0.3">
      <c r="M70" s="366"/>
      <c r="N70" s="314"/>
      <c r="O70" s="286">
        <v>63</v>
      </c>
      <c r="P70" s="291" t="s">
        <v>665</v>
      </c>
      <c r="Q70" s="292" t="s">
        <v>666</v>
      </c>
      <c r="R70" s="293" t="s">
        <v>667</v>
      </c>
      <c r="S70" s="48">
        <v>0.4</v>
      </c>
      <c r="T70" s="49" t="s">
        <v>750</v>
      </c>
    </row>
    <row r="71" spans="13:20" ht="42.75" customHeight="1" x14ac:dyDescent="0.3"/>
    <row r="72" spans="13:20" ht="42.75" customHeight="1" x14ac:dyDescent="0.3"/>
    <row r="73" spans="13:20" ht="42.75" customHeight="1" x14ac:dyDescent="0.3"/>
    <row r="74" spans="13:20" ht="42.75" customHeight="1" x14ac:dyDescent="0.3"/>
    <row r="75" spans="13:20" ht="42.75" customHeight="1" x14ac:dyDescent="0.3"/>
    <row r="76" spans="13:20" ht="42.75" customHeight="1" x14ac:dyDescent="0.3"/>
    <row r="77" spans="13:20" ht="42.75" customHeight="1" x14ac:dyDescent="0.3"/>
    <row r="78" spans="13:20" ht="42.75" customHeight="1" x14ac:dyDescent="0.3"/>
    <row r="79" spans="13:20" ht="42.75" customHeight="1" x14ac:dyDescent="0.3"/>
    <row r="80" spans="13:20" ht="42.75" customHeight="1" x14ac:dyDescent="0.3"/>
    <row r="81" ht="42.75" customHeight="1" x14ac:dyDescent="0.3"/>
    <row r="82" ht="42.75" customHeight="1" x14ac:dyDescent="0.3"/>
    <row r="83" ht="42.75" customHeight="1" x14ac:dyDescent="0.3"/>
    <row r="84" ht="42.75" customHeight="1" x14ac:dyDescent="0.3"/>
    <row r="85" ht="42.75" customHeight="1" x14ac:dyDescent="0.3"/>
    <row r="86" ht="42.75" customHeight="1" x14ac:dyDescent="0.3"/>
    <row r="87" ht="42.75" customHeight="1" x14ac:dyDescent="0.3"/>
  </sheetData>
  <mergeCells count="312">
    <mergeCell ref="DK57:DO57"/>
    <mergeCell ref="M58:M70"/>
    <mergeCell ref="N58:N60"/>
    <mergeCell ref="DH60:DH64"/>
    <mergeCell ref="N61:N62"/>
    <mergeCell ref="DL62:DN62"/>
    <mergeCell ref="N63:N65"/>
    <mergeCell ref="N66:N68"/>
    <mergeCell ref="N69:N70"/>
    <mergeCell ref="M37:M47"/>
    <mergeCell ref="N37:N38"/>
    <mergeCell ref="N39:N41"/>
    <mergeCell ref="N42:N43"/>
    <mergeCell ref="N44:N45"/>
    <mergeCell ref="N46:N47"/>
    <mergeCell ref="M48:M57"/>
    <mergeCell ref="N48:N49"/>
    <mergeCell ref="N50:N51"/>
    <mergeCell ref="N52:N53"/>
    <mergeCell ref="N54:N55"/>
    <mergeCell ref="N56:N57"/>
    <mergeCell ref="AA34:AM34"/>
    <mergeCell ref="AP34:BB34"/>
    <mergeCell ref="BE34:BQ34"/>
    <mergeCell ref="BT34:CF34"/>
    <mergeCell ref="CI34:CU34"/>
    <mergeCell ref="V35:X35"/>
    <mergeCell ref="AA35:AM35"/>
    <mergeCell ref="AP35:BB35"/>
    <mergeCell ref="BE35:BQ35"/>
    <mergeCell ref="BT35:CF35"/>
    <mergeCell ref="CI35:CU35"/>
    <mergeCell ref="N31:N33"/>
    <mergeCell ref="V31:W31"/>
    <mergeCell ref="X31:Y31"/>
    <mergeCell ref="V32:W32"/>
    <mergeCell ref="X32:Y32"/>
    <mergeCell ref="V33:W33"/>
    <mergeCell ref="X33:Y33"/>
    <mergeCell ref="N34:N36"/>
    <mergeCell ref="W34:X34"/>
    <mergeCell ref="CF30:CF33"/>
    <mergeCell ref="CG30:CG33"/>
    <mergeCell ref="CL30:CL33"/>
    <mergeCell ref="CT30:CT33"/>
    <mergeCell ref="CU30:CU33"/>
    <mergeCell ref="CV30:CV33"/>
    <mergeCell ref="CW30:CW33"/>
    <mergeCell ref="CX30:CX33"/>
    <mergeCell ref="CY30:CY33"/>
    <mergeCell ref="N29:N30"/>
    <mergeCell ref="V29:X29"/>
    <mergeCell ref="Z29:AN29"/>
    <mergeCell ref="AO29:BC29"/>
    <mergeCell ref="BD29:BR29"/>
    <mergeCell ref="BS29:CG29"/>
    <mergeCell ref="CH29:CV29"/>
    <mergeCell ref="CW29:CY29"/>
    <mergeCell ref="V30:W30"/>
    <mergeCell ref="X30:Y30"/>
    <mergeCell ref="AD30:AD33"/>
    <mergeCell ref="AL30:AL33"/>
    <mergeCell ref="AM30:AM33"/>
    <mergeCell ref="AN30:AN33"/>
    <mergeCell ref="AS30:AS33"/>
    <mergeCell ref="BA30:BA33"/>
    <mergeCell ref="BB30:BB33"/>
    <mergeCell ref="BC30:BC33"/>
    <mergeCell ref="BH30:BH33"/>
    <mergeCell ref="BP30:BP33"/>
    <mergeCell ref="BQ30:BQ33"/>
    <mergeCell ref="BR30:BR33"/>
    <mergeCell ref="BW30:BW33"/>
    <mergeCell ref="CE30:CE33"/>
    <mergeCell ref="CG25:CG28"/>
    <mergeCell ref="CL25:CL28"/>
    <mergeCell ref="CT25:CT28"/>
    <mergeCell ref="CU25:CU28"/>
    <mergeCell ref="CV25:CV28"/>
    <mergeCell ref="CW25:CW28"/>
    <mergeCell ref="CX25:CX28"/>
    <mergeCell ref="CY25:CY28"/>
    <mergeCell ref="N26:N28"/>
    <mergeCell ref="V26:W26"/>
    <mergeCell ref="X26:Y26"/>
    <mergeCell ref="V27:W27"/>
    <mergeCell ref="X27:Y27"/>
    <mergeCell ref="V28:W28"/>
    <mergeCell ref="X28:Y28"/>
    <mergeCell ref="BB25:BB28"/>
    <mergeCell ref="BC25:BC28"/>
    <mergeCell ref="BH25:BH28"/>
    <mergeCell ref="BP25:BP28"/>
    <mergeCell ref="BQ25:BQ28"/>
    <mergeCell ref="BR25:BR28"/>
    <mergeCell ref="BW25:BW28"/>
    <mergeCell ref="CE25:CE28"/>
    <mergeCell ref="CF25:CF28"/>
    <mergeCell ref="V21:W21"/>
    <mergeCell ref="X21:Y21"/>
    <mergeCell ref="DD21:DD24"/>
    <mergeCell ref="V22:W22"/>
    <mergeCell ref="X22:Y22"/>
    <mergeCell ref="M23:M36"/>
    <mergeCell ref="N23:N25"/>
    <mergeCell ref="V23:W23"/>
    <mergeCell ref="X23:Y23"/>
    <mergeCell ref="V24:X24"/>
    <mergeCell ref="Z24:AN24"/>
    <mergeCell ref="AO24:BC24"/>
    <mergeCell ref="BD24:BR24"/>
    <mergeCell ref="BS24:CG24"/>
    <mergeCell ref="CH24:CV24"/>
    <mergeCell ref="CW24:CY24"/>
    <mergeCell ref="V25:W25"/>
    <mergeCell ref="X25:Y25"/>
    <mergeCell ref="AD25:AD28"/>
    <mergeCell ref="AL25:AL28"/>
    <mergeCell ref="AM25:AM28"/>
    <mergeCell ref="AN25:AN28"/>
    <mergeCell ref="AS25:AS28"/>
    <mergeCell ref="BA25:BA28"/>
    <mergeCell ref="CF20:CF23"/>
    <mergeCell ref="CG20:CG23"/>
    <mergeCell ref="CL20:CL23"/>
    <mergeCell ref="CT20:CT23"/>
    <mergeCell ref="CU20:CU23"/>
    <mergeCell ref="CV20:CV23"/>
    <mergeCell ref="CW20:CW23"/>
    <mergeCell ref="CX20:CX23"/>
    <mergeCell ref="CY20:CY23"/>
    <mergeCell ref="Z19:AN19"/>
    <mergeCell ref="AO19:BC19"/>
    <mergeCell ref="BD19:BR19"/>
    <mergeCell ref="BS19:CG19"/>
    <mergeCell ref="CH19:CV19"/>
    <mergeCell ref="CW19:CY19"/>
    <mergeCell ref="DB19:DE19"/>
    <mergeCell ref="N20:N22"/>
    <mergeCell ref="V20:W20"/>
    <mergeCell ref="X20:Y20"/>
    <mergeCell ref="AD20:AD23"/>
    <mergeCell ref="AL20:AL23"/>
    <mergeCell ref="AM20:AM23"/>
    <mergeCell ref="AN20:AN23"/>
    <mergeCell ref="AS20:AS23"/>
    <mergeCell ref="BA20:BA23"/>
    <mergeCell ref="BB20:BB23"/>
    <mergeCell ref="BC20:BC23"/>
    <mergeCell ref="BH20:BH23"/>
    <mergeCell ref="BP20:BP23"/>
    <mergeCell ref="BQ20:BQ23"/>
    <mergeCell ref="BR20:BR23"/>
    <mergeCell ref="BW20:BW23"/>
    <mergeCell ref="CE20:CE23"/>
    <mergeCell ref="V16:W16"/>
    <mergeCell ref="X16:Y16"/>
    <mergeCell ref="N17:N19"/>
    <mergeCell ref="V17:W17"/>
    <mergeCell ref="X17:Y17"/>
    <mergeCell ref="C18:D18"/>
    <mergeCell ref="V18:W18"/>
    <mergeCell ref="X18:Y18"/>
    <mergeCell ref="V19:X19"/>
    <mergeCell ref="CF15:CF18"/>
    <mergeCell ref="CG15:CG18"/>
    <mergeCell ref="CL15:CL18"/>
    <mergeCell ref="CT15:CT18"/>
    <mergeCell ref="CU15:CU18"/>
    <mergeCell ref="CV15:CV18"/>
    <mergeCell ref="CW15:CW18"/>
    <mergeCell ref="CX15:CX18"/>
    <mergeCell ref="CY15:CY18"/>
    <mergeCell ref="BA15:BA18"/>
    <mergeCell ref="BB15:BB18"/>
    <mergeCell ref="BC15:BC18"/>
    <mergeCell ref="BH15:BH18"/>
    <mergeCell ref="BP15:BP18"/>
    <mergeCell ref="BQ15:BQ18"/>
    <mergeCell ref="BR15:BR18"/>
    <mergeCell ref="BW15:BW18"/>
    <mergeCell ref="CE15:CE18"/>
    <mergeCell ref="CY10:CY13"/>
    <mergeCell ref="V11:W11"/>
    <mergeCell ref="X11:Y11"/>
    <mergeCell ref="C12:D12"/>
    <mergeCell ref="V12:W12"/>
    <mergeCell ref="X12:Y12"/>
    <mergeCell ref="B13:B18"/>
    <mergeCell ref="V13:W13"/>
    <mergeCell ref="X13:Y13"/>
    <mergeCell ref="N14:N16"/>
    <mergeCell ref="V14:X14"/>
    <mergeCell ref="Z14:AN14"/>
    <mergeCell ref="AO14:BC14"/>
    <mergeCell ref="BD14:BR14"/>
    <mergeCell ref="BS14:CG14"/>
    <mergeCell ref="CH14:CV14"/>
    <mergeCell ref="CW14:CY14"/>
    <mergeCell ref="V15:W15"/>
    <mergeCell ref="X15:Y15"/>
    <mergeCell ref="AD15:AD18"/>
    <mergeCell ref="AL15:AL18"/>
    <mergeCell ref="AM15:AM18"/>
    <mergeCell ref="AN15:AN18"/>
    <mergeCell ref="AS15:AS18"/>
    <mergeCell ref="CE10:CE13"/>
    <mergeCell ref="CF10:CF13"/>
    <mergeCell ref="CG10:CG13"/>
    <mergeCell ref="CL10:CL13"/>
    <mergeCell ref="CT10:CT13"/>
    <mergeCell ref="CU10:CU13"/>
    <mergeCell ref="CV10:CV13"/>
    <mergeCell ref="CW10:CW13"/>
    <mergeCell ref="CX10:CX13"/>
    <mergeCell ref="CU8:CU9"/>
    <mergeCell ref="CV8:CV9"/>
    <mergeCell ref="V9:X9"/>
    <mergeCell ref="AA9:AB9"/>
    <mergeCell ref="AP9:AQ9"/>
    <mergeCell ref="BE9:BF9"/>
    <mergeCell ref="BT9:BU9"/>
    <mergeCell ref="CI9:CJ9"/>
    <mergeCell ref="N10:N13"/>
    <mergeCell ref="V10:W10"/>
    <mergeCell ref="X10:Y10"/>
    <mergeCell ref="AD10:AD13"/>
    <mergeCell ref="AL10:AL13"/>
    <mergeCell ref="AM10:AM13"/>
    <mergeCell ref="AN10:AN13"/>
    <mergeCell ref="AS10:AS13"/>
    <mergeCell ref="BA10:BA13"/>
    <mergeCell ref="BB10:BB13"/>
    <mergeCell ref="BC10:BC13"/>
    <mergeCell ref="BH10:BH13"/>
    <mergeCell ref="BP10:BP13"/>
    <mergeCell ref="BQ10:BQ13"/>
    <mergeCell ref="BR10:BR13"/>
    <mergeCell ref="BW10:BW13"/>
    <mergeCell ref="CD8:CD9"/>
    <mergeCell ref="CE8:CE9"/>
    <mergeCell ref="CF8:CF9"/>
    <mergeCell ref="CG8:CG9"/>
    <mergeCell ref="CH8:CL8"/>
    <mergeCell ref="CM8:CQ8"/>
    <mergeCell ref="CR8:CR9"/>
    <mergeCell ref="CS8:CS9"/>
    <mergeCell ref="CT8:CT9"/>
    <mergeCell ref="BI8:BM8"/>
    <mergeCell ref="BN8:BN9"/>
    <mergeCell ref="BO8:BO9"/>
    <mergeCell ref="BP8:BP9"/>
    <mergeCell ref="BQ8:BQ9"/>
    <mergeCell ref="BR8:BR9"/>
    <mergeCell ref="BS8:BW8"/>
    <mergeCell ref="BX8:CB8"/>
    <mergeCell ref="CC8:CC9"/>
    <mergeCell ref="AN8:AN9"/>
    <mergeCell ref="AO8:AS8"/>
    <mergeCell ref="AT8:AX8"/>
    <mergeCell ref="AY8:AY9"/>
    <mergeCell ref="AZ8:AZ9"/>
    <mergeCell ref="BA8:BA9"/>
    <mergeCell ref="BB8:BB9"/>
    <mergeCell ref="BC8:BC9"/>
    <mergeCell ref="BD8:BH8"/>
    <mergeCell ref="DB6:DF6"/>
    <mergeCell ref="B7:B12"/>
    <mergeCell ref="Z7:AL7"/>
    <mergeCell ref="AO7:BA7"/>
    <mergeCell ref="BD7:BP7"/>
    <mergeCell ref="BS7:CE7"/>
    <mergeCell ref="CH7:CT7"/>
    <mergeCell ref="CW7:CW9"/>
    <mergeCell ref="CX7:CX9"/>
    <mergeCell ref="CY7:CY9"/>
    <mergeCell ref="DB7:DB9"/>
    <mergeCell ref="DC7:DC9"/>
    <mergeCell ref="DD7:DD9"/>
    <mergeCell ref="DE7:DE9"/>
    <mergeCell ref="DF7:DF9"/>
    <mergeCell ref="M8:M22"/>
    <mergeCell ref="N8:N9"/>
    <mergeCell ref="V8:X8"/>
    <mergeCell ref="Z8:AD8"/>
    <mergeCell ref="AE8:AI8"/>
    <mergeCell ref="AJ8:AJ9"/>
    <mergeCell ref="AK8:AK9"/>
    <mergeCell ref="AL8:AL9"/>
    <mergeCell ref="AM8:AM9"/>
    <mergeCell ref="M6:M7"/>
    <mergeCell ref="N6:N7"/>
    <mergeCell ref="O6:O7"/>
    <mergeCell ref="P6:P7"/>
    <mergeCell ref="Q6:Q7"/>
    <mergeCell ref="R6:R7"/>
    <mergeCell ref="S6:S7"/>
    <mergeCell ref="T6:T7"/>
    <mergeCell ref="Z6:CV6"/>
    <mergeCell ref="B2:K2"/>
    <mergeCell ref="M2:T2"/>
    <mergeCell ref="V2:CY2"/>
    <mergeCell ref="DB2:DF2"/>
    <mergeCell ref="B3:H3"/>
    <mergeCell ref="M3:R3"/>
    <mergeCell ref="V3:AB3"/>
    <mergeCell ref="B4:G4"/>
    <mergeCell ref="AE4:AJ4"/>
    <mergeCell ref="AT4:AY4"/>
    <mergeCell ref="BI4:BN4"/>
    <mergeCell ref="BX4:CC4"/>
    <mergeCell ref="CM4:CR4"/>
  </mergeCells>
  <pageMargins left="0.70833333333333304" right="0.70833333333333304" top="0.74791666666666701" bottom="0.74791666666666701" header="0.511811023622047" footer="0.511811023622047"/>
  <pageSetup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4" baseType="variant">
      <vt:variant>
        <vt:lpstr>Worksheets</vt:lpstr>
      </vt:variant>
      <vt:variant>
        <vt:i4>1</vt:i4>
      </vt:variant>
      <vt:variant>
        <vt:lpstr>Named Ranges</vt:lpstr>
      </vt:variant>
      <vt:variant>
        <vt:i4>24</vt:i4>
      </vt:variant>
    </vt:vector>
  </HeadingPairs>
  <TitlesOfParts>
    <vt:vector size="25" baseType="lpstr">
      <vt:lpstr>Accessibility Assessment Scheme</vt:lpstr>
      <vt:lpstr>'Accessibility Assessment Scheme'!_Hlk227742907</vt:lpstr>
      <vt:lpstr>'Accessibility Assessment Scheme'!_Hlk227743783</vt:lpstr>
      <vt:lpstr>'Accessibility Assessment Scheme'!_Hlk227746072</vt:lpstr>
      <vt:lpstr>'Accessibility Assessment Scheme'!_Hlk227747414</vt:lpstr>
      <vt:lpstr>'Accessibility Assessment Scheme'!_Hlk227748909</vt:lpstr>
      <vt:lpstr>'Accessibility Assessment Scheme'!_Hlk227750548</vt:lpstr>
      <vt:lpstr>'Accessibility Assessment Scheme'!_Hlk227751747</vt:lpstr>
      <vt:lpstr>'Accessibility Assessment Scheme'!_Hlk227752688</vt:lpstr>
      <vt:lpstr>'Accessibility Assessment Scheme'!_Hlk227758683</vt:lpstr>
      <vt:lpstr>'Accessibility Assessment Scheme'!_Hlk227762232</vt:lpstr>
      <vt:lpstr>'Accessibility Assessment Scheme'!_Hlk227932432</vt:lpstr>
      <vt:lpstr>'Accessibility Assessment Scheme'!_Hlk227934257</vt:lpstr>
      <vt:lpstr>'Accessibility Assessment Scheme'!_Hlk227935132</vt:lpstr>
      <vt:lpstr>'Accessibility Assessment Scheme'!_Hlk228192117</vt:lpstr>
      <vt:lpstr>'Accessibility Assessment Scheme'!_Hlk228193883</vt:lpstr>
      <vt:lpstr>'Accessibility Assessment Scheme'!_Hlk228272907</vt:lpstr>
      <vt:lpstr>'Accessibility Assessment Scheme'!_Hlk228275355</vt:lpstr>
      <vt:lpstr>'Accessibility Assessment Scheme'!_Hlk228276710</vt:lpstr>
      <vt:lpstr>'Accessibility Assessment Scheme'!_Hlk228354591</vt:lpstr>
      <vt:lpstr>'Accessibility Assessment Scheme'!_Hlk228356948</vt:lpstr>
      <vt:lpstr>'Accessibility Assessment Scheme'!_Hlk228359635</vt:lpstr>
      <vt:lpstr>'Accessibility Assessment Scheme'!_Hlk228362756</vt:lpstr>
      <vt:lpstr>'Accessibility Assessment Scheme'!_Hlk228363903</vt:lpstr>
      <vt:lpstr>'Accessibility Assessment Scheme'!_Hlk228367009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Yiangos</dc:creator>
  <dc:description/>
  <cp:lastModifiedBy>Ioannis Yiangou</cp:lastModifiedBy>
  <cp:revision>1</cp:revision>
  <cp:lastPrinted>2026-05-11T12:08:15Z</cp:lastPrinted>
  <dcterms:created xsi:type="dcterms:W3CDTF">2025-10-13T10:29:18Z</dcterms:created>
  <dcterms:modified xsi:type="dcterms:W3CDTF">2026-06-09T08:26:40Z</dcterms:modified>
  <dc:language>en-US</dc:language>
</cp:coreProperties>
</file>